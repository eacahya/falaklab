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Matahari" sheetId="2" state="visible" r:id="rId2"/>
    <sheet xmlns:r="http://schemas.openxmlformats.org/officeDocument/2006/relationships" name="Kiblat" sheetId="3" state="visible" r:id="rId3"/>
    <sheet xmlns:r="http://schemas.openxmlformats.org/officeDocument/2006/relationships" name="BayanganKiblat" sheetId="4" state="visible" r:id="rId4"/>
    <sheet xmlns:r="http://schemas.openxmlformats.org/officeDocument/2006/relationships" name="WaktuSholat" sheetId="5" state="visible" r:id="rId5"/>
    <sheet xmlns:r="http://schemas.openxmlformats.org/officeDocument/2006/relationships" name="Jadwa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9">
    <numFmt numFmtId="164" formatCode="yyyy-mm-dd h:mm:ss"/>
    <numFmt numFmtId="165" formatCode="dd/mm/yyyy"/>
    <numFmt numFmtId="166" formatCode="0.00000"/>
    <numFmt numFmtId="167" formatCode="0.000000"/>
    <numFmt numFmtId="168" formatCode="0.0000"/>
    <numFmt numFmtId="169" formatCode="0.0"/>
    <numFmt numFmtId="170" formatCode="hh:mm:ss"/>
    <numFmt numFmtId="171" formatCode="hh:mm"/>
    <numFmt numFmtId="172" formatCode="0.000"/>
  </numFmts>
  <fonts count="6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1F4E9E"/>
    </font>
    <font>
      <b val="1"/>
      <sz val="14"/>
    </font>
    <font>
      <i val="1"/>
      <color rgb="0056627A"/>
      <sz val="9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2" fillId="2" borderId="0" pivotButton="0" quotePrefix="0" xfId="0"/>
    <xf numFmtId="0" fontId="2" fillId="0" borderId="0" applyAlignment="1" pivotButton="0" quotePrefix="0" xfId="0">
      <alignment vertical="top" wrapText="1"/>
    </xf>
    <xf numFmtId="0" fontId="1" fillId="0" borderId="0" pivotButton="0" quotePrefix="0" xfId="0"/>
    <xf numFmtId="0" fontId="5" fillId="0" borderId="0" applyAlignment="1" pivotButton="0" quotePrefix="0" xfId="0">
      <alignment vertical="top" wrapText="1"/>
    </xf>
    <xf numFmtId="165" fontId="3" fillId="3" borderId="0" pivotButton="0" quotePrefix="0" xfId="0"/>
    <xf numFmtId="2" fontId="3" fillId="3" borderId="0" pivotButton="0" quotePrefix="0" xfId="0"/>
    <xf numFmtId="3" fontId="3" fillId="3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0" fontId="3" fillId="3" borderId="0" pivotButton="0" quotePrefix="0" xfId="0"/>
    <xf numFmtId="3" fontId="0" fillId="0" borderId="0" pivotButton="0" quotePrefix="0" xfId="0"/>
    <xf numFmtId="169" fontId="3" fillId="3" borderId="0" pivotButton="0" quotePrefix="0" xfId="0"/>
    <xf numFmtId="170" fontId="0" fillId="0" borderId="0" pivotButton="0" quotePrefix="0" xfId="0"/>
    <xf numFmtId="165" fontId="0" fillId="0" borderId="0" pivotButton="0" quotePrefix="0" xfId="0"/>
    <xf numFmtId="171" fontId="0" fillId="0" borderId="0" pivotButton="0" quotePrefix="0" xfId="0"/>
    <xf numFmtId="169" fontId="0" fillId="0" borderId="0" pivotButton="0" quotePrefix="0" xfId="0"/>
    <xf numFmtId="17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52" customWidth="1" min="3" max="3"/>
    <col width="40" customWidth="1" min="4" max="4"/>
    <col width="42" customWidth="1" min="5" max="5"/>
    <col width="40" customWidth="1" min="6" max="6"/>
  </cols>
  <sheetData>
    <row r="1">
      <c r="A1" s="1" t="inlineStr">
        <is>
          <t>Petunjuk Lembar Kerja Astronomi Islam Jilid 1</t>
        </is>
      </c>
    </row>
    <row r="2" ht="30" customHeight="1">
      <c r="A2" s="2" t="inlineStr">
        <is>
          <t>Lembar kerja ini sama dengan Praktik Excel di buku (Bab 5, 7, 9, 12–14). Sel berlatar kuning dengan angka biru adalah masukan; sel lain berisi rumus. Sheet saling terhubung: koordinat diisi sekali di Kiblat, tanggal sekali di Matahari.</t>
        </is>
      </c>
    </row>
    <row r="3">
      <c r="A3" s="3" t="inlineStr">
        <is>
          <t>Peta sheet dan hubungannya</t>
        </is>
      </c>
    </row>
    <row r="4">
      <c r="A4" s="4" t="inlineStr">
        <is>
          <t>Sheet</t>
        </is>
      </c>
      <c r="B4" s="4" t="inlineStr">
        <is>
          <t>Bab</t>
        </is>
      </c>
      <c r="C4" s="4" t="inlineStr">
        <is>
          <t>Isi</t>
        </is>
      </c>
      <c r="D4" s="4" t="inlineStr">
        <is>
          <t>Hubungan</t>
        </is>
      </c>
      <c r="E4" s="4" t="inlineStr">
        <is>
          <t>Sumber rumus</t>
        </is>
      </c>
      <c r="F4" s="4" t="inlineStr">
        <is>
          <t>Ketelitian</t>
        </is>
      </c>
    </row>
    <row r="5" ht="45" customHeight="1">
      <c r="A5" s="5" t="inlineStr">
        <is>
          <t>Matahari</t>
        </is>
      </c>
      <c r="B5" s="2" t="inlineStr">
        <is>
          <t>Bab 5</t>
        </is>
      </c>
      <c r="C5" s="2" t="inlineStr">
        <is>
          <t>Deklinasi dan perata waktu. Masukan: tanggal B4, jam B5, zona waktu B6.</t>
        </is>
      </c>
      <c r="D5" s="2" t="inlineStr">
        <is>
          <t>Dipakai BayanganKiblat dan WaktuSholat.</t>
        </is>
      </c>
      <c r="E5" s="2" t="inlineStr">
        <is>
          <t>Algoritma posisi Matahari ketelitian rendah: Meeus (1998, bab 25), juga dipakai kalkulator Matahari NOAA</t>
        </is>
      </c>
      <c r="F5" s="2" t="inlineStr">
        <is>
          <t>Deklinasi sekitar 0,01°, perata waktu sekitar 1–2 detik</t>
        </is>
      </c>
    </row>
    <row r="6" ht="60" customHeight="1">
      <c r="A6" s="5" t="inlineStr">
        <is>
          <t>Kiblat</t>
        </is>
      </c>
      <c r="B6" s="2" t="inlineStr">
        <is>
          <t>Bab 7</t>
        </is>
      </c>
      <c r="C6" s="2" t="inlineStr">
        <is>
          <t>Arah kiblat, notasi falak, jarak ke Ka'bah, pelencengan masjid. Masukan: koordinat B4:E5 (derajat, menit, detik, LU/LS/BT/BB), azimut saf B21.</t>
        </is>
      </c>
      <c r="D6" s="2" t="inlineStr">
        <is>
          <t>Koordinatnya dipakai semua sheet lain.</t>
        </is>
      </c>
      <c r="E6" s="2" t="inlineStr">
        <is>
          <t>Trigonometri bola (lingkaran besar, Bumi dianggap bola): rumus klasik ilmu falak, bentuk modern Khazin (2004) dan Hambali (2011)</t>
        </is>
      </c>
      <c r="F6" s="2" t="inlineStr">
        <is>
          <t>Hitungan pasti; selisih model bola dan elipsoid WGS-84 paling besar 0,18° (Bandung 0,13°)</t>
        </is>
      </c>
    </row>
    <row r="7" ht="30" customHeight="1">
      <c r="A7" s="5" t="inlineStr">
        <is>
          <t>BayanganKiblat</t>
        </is>
      </c>
      <c r="B7" s="2" t="inlineStr">
        <is>
          <t>Bab 9</t>
        </is>
      </c>
      <c r="C7" s="2" t="inlineStr">
        <is>
          <t>Jam ketika bayangan tongkat menunjuk kiblat.</t>
        </is>
      </c>
      <c r="D7" s="2" t="inlineStr">
        <is>
          <t>Membaca Kiblat, Matahari, dan WaktuSholat; tanpa masukan.</t>
        </is>
      </c>
      <c r="E7" s="2" t="inlineStr">
        <is>
          <t>Segitiga bola: saat azimut Matahari sama dengan azimut kiblat (Khazin, 2004)</t>
        </is>
      </c>
      <c r="F7" s="2" t="inlineStr">
        <is>
          <t>Seteliti data Matahari, sekitar ±10 detik waktu</t>
        </is>
      </c>
    </row>
    <row r="8" ht="45" customHeight="1">
      <c r="A8" s="5" t="inlineStr">
        <is>
          <t>WaktuSholat</t>
        </is>
      </c>
      <c r="B8" s="2" t="inlineStr">
        <is>
          <t>Bab 12–13</t>
        </is>
      </c>
      <c r="C8" s="2" t="inlineStr">
        <is>
          <t>Waktu salat satu hari. Masukan: tinggi tempat B8, ihtiyat B10, kriteria Subuh/Isya B11–B12, faktor Ashar B13.</t>
        </is>
      </c>
      <c r="D8" s="2" t="inlineStr">
        <is>
          <t>Membaca Kiblat dan Matahari; dibaca Jadwal.</t>
        </is>
      </c>
      <c r="E8" s="2" t="inlineStr">
        <is>
          <t>Sudut waktu cos t = (sin h − sin φ sin δ)/(cos φ cos δ) dengan kriteria Kemenag</t>
        </is>
      </c>
      <c r="F8" s="2" t="inlineStr">
        <is>
          <t>Diuji dengan jadwal Kemenag Kota Bandung: Imsak, Subuh, Dhuha, Ashar, Isya 100% dalam ±1 menit</t>
        </is>
      </c>
    </row>
    <row r="9" ht="45" customHeight="1">
      <c r="A9" s="5" t="inlineStr">
        <is>
          <t>Jadwal</t>
        </is>
      </c>
      <c r="B9" s="2" t="inlineStr">
        <is>
          <t>Bab 14</t>
        </is>
      </c>
      <c r="C9" s="2" t="inlineStr">
        <is>
          <t>Jadwal salat satu bulan. Masukan: tanggal 1 di B11.</t>
        </is>
      </c>
      <c r="D9" s="2" t="inlineStr">
        <is>
          <t>Membaca Kiblat dan WaktuSholat.</t>
        </is>
      </c>
      <c r="E9" s="2" t="inlineStr">
        <is>
          <t>Sama dengan Matahari dan WaktuSholat, dihitung ulang untuk setiap tanggal</t>
        </is>
      </c>
      <c r="F9" s="2" t="inlineStr">
        <is>
          <t>Sama dengan WaktuSholat; Terbit dan Maghrib bergantung pada keadaan ufuk setempat</t>
        </is>
      </c>
    </row>
    <row r="10">
      <c r="A10" s="3" t="inlineStr">
        <is>
          <t>Alur A. Arah kiblat dan pelencengan masjid</t>
        </is>
      </c>
    </row>
    <row r="11" ht="15" customHeight="1">
      <c r="A11" s="2" t="inlineStr">
        <is>
          <t>1. Kiblat: isi lintang dan bujur masjid di B4:E5. Hasil: azimut B15, notasi falak B18, jarak B19.</t>
        </is>
      </c>
    </row>
    <row r="12" ht="15" customHeight="1">
      <c r="A12" s="2" t="inlineStr">
        <is>
          <t>2. Bila arah saf sudah diukur (Bab 8, 9, atau 11), isi azimutnya di B21. B22 memberi pelencengan ΔA dan B23 jarak melesetnya dari Ka'bah. Koreksi: putar garis saf sebesar −ΔA.</t>
        </is>
      </c>
    </row>
    <row r="13">
      <c r="A13" s="3" t="inlineStr">
        <is>
          <t>Alur B. Waktu salat satu hari</t>
        </is>
      </c>
    </row>
    <row r="14" ht="15" customHeight="1">
      <c r="A14" s="2" t="inlineStr">
        <is>
          <t>1. Kiblat: isi koordinat tempat (B4:E5).</t>
        </is>
      </c>
    </row>
    <row r="15" ht="15" customHeight="1">
      <c r="A15" s="2" t="inlineStr">
        <is>
          <t>2. Matahari: isi tanggal di B4 dan zona waktu di B6 (WIB 7, WITA 8, WIT 9). Jam B5 biarkan 12.</t>
        </is>
      </c>
    </row>
    <row r="16" ht="15" customHeight="1">
      <c r="A16" s="2" t="inlineStr">
        <is>
          <t>3. WaktuSholat: atur tinggi tempat, ihtiyat, dan kriteria bila perlu. Jadwal dibaca di kolom G baris 27–34 (Subuh sampai Imsak).</t>
        </is>
      </c>
    </row>
    <row r="17">
      <c r="A17" s="3" t="inlineStr">
        <is>
          <t>Alur C. Jadwal satu bulan</t>
        </is>
      </c>
    </row>
    <row r="18" ht="15" customHeight="1">
      <c r="A18" s="2" t="inlineStr">
        <is>
          <t>Selesaikan Alur B, lalu isi tanggal 1 bulan yang diinginkan di Jadwal!B11. Baris 16–46 memuat 31 hari; untuk bulan yang lebih pendek, abaikan baris tanggal bulan berikutnya.</t>
        </is>
      </c>
    </row>
    <row r="19">
      <c r="A19" s="3" t="inlineStr">
        <is>
          <t>Alur D. Bayangan kiblat harian</t>
        </is>
      </c>
    </row>
    <row r="20" ht="30" customHeight="1">
      <c r="A20" s="2" t="inlineStr">
        <is>
          <t>Isi koordinat di Kiblat dan tanggal di Matahari!B4. BayanganKiblat!B16 memberi jamnya, B17 cara membaca arah bayangan. Bila tertulis "tidak terjadi", bayangan kiblat tidak terbentuk pada tanggal itu.</t>
        </is>
      </c>
    </row>
    <row r="21">
      <c r="A21" s="3" t="inlineStr">
        <is>
          <t>Masalah umum</t>
        </is>
      </c>
    </row>
    <row r="22" ht="30" customHeight="1">
      <c r="A22" s="2" t="inlineStr">
        <is>
          <t>Muncul #NUM! di WaktuSholat atau Jadwal: Matahari tidak mencapai tinggi kriteria (lintang tinggi) atau tanggal kosong. Pemisah rumus (; atau ,) dan koma desimal otomatis mengikuti bahasa Excel Anda.</t>
        </is>
      </c>
    </row>
    <row r="23">
      <c r="A23" s="3" t="inlineStr">
        <is>
          <t>Batas ketelitian</t>
        </is>
      </c>
    </row>
    <row r="24" ht="15" customHeight="1">
      <c r="A24" s="2" t="inlineStr">
        <is>
          <t>Model ringkas: rumus Matahari di sini versi ringkas supaya bisa diketik sel demi sel. Aplikasi Falak Lab memakai mesin yang lebih teliti; selisihnya hanya beberapa detik waktu.</t>
        </is>
      </c>
    </row>
    <row r="25" ht="15" customHeight="1">
      <c r="A25" s="2" t="inlineStr">
        <is>
          <t>Bumi dianggap bola: arah kiblat dihitung pada bola sempurna. Model Bumi pepat (WGS-84) memberi selisih paling besar 0,18°, jauh lebih kecil daripada galat pengukuran di lapangan.</t>
        </is>
      </c>
    </row>
    <row r="26" ht="30" customHeight="1">
      <c r="A26" s="2" t="inlineStr">
        <is>
          <t>Refraksi dan ufuk: Terbit dan Maghrib memakai refraksi standar 34′ dan kerendahan ufuk 1,76′√H. Keadaan udara dan bentuk ufuk setempat dapat menggeser keduanya beberapa menit; karena itu dipakai ihtiyat.</t>
        </is>
      </c>
    </row>
    <row r="27" ht="30" customHeight="1">
      <c r="A27" s="2" t="inlineStr">
        <is>
          <t>Kesimpulan: cukup akurat untuk belajar, menyusun jadwal salat, dan menentukan arah kiblat masjid. Rujukan utama: Meeus, J. (1998). Astronomical Algorithms (ed. ke-2). Richmond: Willmann-Bell.</t>
        </is>
      </c>
    </row>
  </sheetData>
  <mergeCells count="21">
    <mergeCell ref="A16:F16"/>
    <mergeCell ref="A27:F27"/>
    <mergeCell ref="A12:F12"/>
    <mergeCell ref="A18:F18"/>
    <mergeCell ref="A3:F3"/>
    <mergeCell ref="A21:F21"/>
    <mergeCell ref="A26:F26"/>
    <mergeCell ref="A2:F2"/>
    <mergeCell ref="A14:F14"/>
    <mergeCell ref="A23:F23"/>
    <mergeCell ref="A22:F22"/>
    <mergeCell ref="A17:F17"/>
    <mergeCell ref="A20:F20"/>
    <mergeCell ref="A10:F10"/>
    <mergeCell ref="A13:F13"/>
    <mergeCell ref="A19:F19"/>
    <mergeCell ref="A15:F15"/>
    <mergeCell ref="A24:F24"/>
    <mergeCell ref="A11:F11"/>
    <mergeCell ref="A1:F1"/>
    <mergeCell ref="A25:F25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6" t="inlineStr">
        <is>
          <t>Matahari</t>
        </is>
      </c>
      <c r="B1" t="inlineStr">
        <is>
          <t>Deklinasi dan perata waktu dari tanggal (Bab 5, algoritma Meeus).</t>
        </is>
      </c>
    </row>
    <row r="2" ht="36" customHeight="1">
      <c r="A2" s="7" t="inlineStr">
        <is>
          <t>Sumber rumus: Algoritma posisi Matahari ketelitian rendah: Meeus (1998, bab 25), juga dipakai kalkulator Matahari NOAA. Ketelitian: Deklinasi sekitar 0,01°, perata waktu sekitar 1–2 detik.</t>
        </is>
      </c>
    </row>
    <row r="3">
      <c r="A3" s="4" t="inlineStr">
        <is>
          <t>Masukan</t>
        </is>
      </c>
      <c r="B3" s="4" t="inlineStr">
        <is>
          <t>Nilai</t>
        </is>
      </c>
    </row>
    <row r="4">
      <c r="A4" t="inlineStr">
        <is>
          <t>Tanggal</t>
        </is>
      </c>
      <c r="B4" s="8" t="n">
        <v>46328</v>
      </c>
    </row>
    <row r="5">
      <c r="A5" t="inlineStr">
        <is>
          <t>Jam lokal (jam desimal)</t>
        </is>
      </c>
      <c r="B5" s="9" t="n">
        <v>12</v>
      </c>
    </row>
    <row r="6">
      <c r="A6" t="inlineStr">
        <is>
          <t>Zona waktu (UTC+)</t>
        </is>
      </c>
      <c r="B6" s="10" t="n">
        <v>7</v>
      </c>
    </row>
    <row r="8">
      <c r="A8" t="inlineStr">
        <is>
          <t>Julian Day (JD)</t>
        </is>
      </c>
      <c r="B8" s="11">
        <f>B4+B5/24-B6/24+2415018.5</f>
        <v/>
      </c>
    </row>
    <row r="9">
      <c r="A9" t="inlineStr">
        <is>
          <t>T (abad Julian sejak J2000)</t>
        </is>
      </c>
      <c r="B9" s="12">
        <f>(B8-2451545)/36525</f>
        <v/>
      </c>
    </row>
    <row r="10">
      <c r="A10" t="inlineStr">
        <is>
          <t>L0 = bujur rata-rata Matahari (°)</t>
        </is>
      </c>
      <c r="B10" s="12">
        <f>MOD(280.46646+36000.76983*B9+0.0003032*B9^2,360)</f>
        <v/>
      </c>
    </row>
    <row r="11">
      <c r="A11" t="inlineStr">
        <is>
          <t>M = anomali rata-rata (°)</t>
        </is>
      </c>
      <c r="B11" s="12">
        <f>357.52911+35999.05029*B9-0.0001537*B9^2</f>
        <v/>
      </c>
    </row>
    <row r="12">
      <c r="A12" t="inlineStr">
        <is>
          <t>e = eksentrisitas orbit Bumi</t>
        </is>
      </c>
      <c r="B12" s="12">
        <f>0.016708634-0.000042037*B9</f>
        <v/>
      </c>
    </row>
    <row r="13">
      <c r="A13" t="inlineStr">
        <is>
          <t>C = persamaan pusat (°)</t>
        </is>
      </c>
      <c r="B13" s="12">
        <f>SIN(RADIANS(B11))*(1.914602-0.004817*B9)+SIN(RADIANS(2*B11))*(0.019993-0.000101*B9)+0.000289*SIN(RADIANS(3*B11))</f>
        <v/>
      </c>
    </row>
    <row r="14">
      <c r="A14" t="inlineStr">
        <is>
          <t>Bujur ekliptika sebenarnya (°)</t>
        </is>
      </c>
      <c r="B14" s="12">
        <f>B10+B13</f>
        <v/>
      </c>
    </row>
    <row r="15">
      <c r="A15" s="4" t="inlineStr">
        <is>
          <t>Ω = bujur simpul Bulan (°)</t>
        </is>
      </c>
      <c r="B15" s="12">
        <f>125.04-1934.136*B9</f>
        <v/>
      </c>
    </row>
    <row r="16">
      <c r="A16" t="inlineStr">
        <is>
          <t>λ☉ = bujur ekliptika tampak (°)</t>
        </is>
      </c>
      <c r="B16" s="12">
        <f>B14-0.00569-0.00478*SIN(RADIANS(B15))</f>
        <v/>
      </c>
    </row>
    <row r="17">
      <c r="A17" t="inlineStr">
        <is>
          <t>ε = kemiringan ekliptika (°)</t>
        </is>
      </c>
      <c r="B17" s="12">
        <f>23+(26+(21.448-B9*(46.815+B9*(0.00059-B9*0.001813)))/60)/60+0.00256*COS(RADIANS(B15))</f>
        <v/>
      </c>
    </row>
    <row r="18">
      <c r="A18" t="inlineStr">
        <is>
          <t>δ = deklinasi Matahari (°)</t>
        </is>
      </c>
      <c r="B18" s="12">
        <f>DEGREES(ASIN(SIN(RADIANS(B17))*SIN(RADIANS(B16))))</f>
        <v/>
      </c>
    </row>
    <row r="19">
      <c r="A19" t="inlineStr">
        <is>
          <t>y = tan²(ε/2)</t>
        </is>
      </c>
      <c r="B19" s="12">
        <f>TAN(RADIANS(B17/2))^2</f>
        <v/>
      </c>
    </row>
    <row r="20">
      <c r="A20" t="inlineStr">
        <is>
          <t>e = perata waktu (menit)</t>
        </is>
      </c>
      <c r="B20" s="13">
        <f>4*DEGREES(B19*SIN(2*RADIANS(B10))-2*B12*SIN(RADIANS(B11))+4*B12*B19*SIN(RADIANS(B11))*COS(2*RADIANS(B10))-0.5*B19^2*SIN(4*RADIANS(B10))-1.25*B12^2*SIN(2*RADIANS(B11)))</f>
        <v/>
      </c>
    </row>
  </sheetData>
  <mergeCells count="1">
    <mergeCell ref="A2:B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6" t="inlineStr">
        <is>
          <t>Kiblat</t>
        </is>
      </c>
      <c r="B1" t="inlineStr">
        <is>
          <t>Arah kiblat, notasi falak, jarak ke Ka'bah, dan pelencengan arah masjid (Bab 7).</t>
        </is>
      </c>
    </row>
    <row r="2" ht="24" customHeight="1">
      <c r="A2" s="7" t="inlineStr">
        <is>
          <t>Sumber rumus: Trigonometri bola (lingkaran besar, Bumi dianggap bola): rumus klasik ilmu falak, bentuk modern Khazin (2004) dan Hambali (2011). Ketelitian: Hitungan pasti; selisih model bola dan elipsoid WGS-84 paling besar 0,18° (Bandung 0,13°).</t>
        </is>
      </c>
    </row>
    <row r="3">
      <c r="A3" s="4" t="inlineStr">
        <is>
          <t>Besaran</t>
        </is>
      </c>
      <c r="B3" s="4" t="inlineStr">
        <is>
          <t>Derajat</t>
        </is>
      </c>
      <c r="C3" s="4" t="inlineStr">
        <is>
          <t>Menit</t>
        </is>
      </c>
      <c r="D3" s="4" t="inlineStr">
        <is>
          <t>Detik</t>
        </is>
      </c>
      <c r="E3" s="4" t="inlineStr">
        <is>
          <t>Arah</t>
        </is>
      </c>
      <c r="F3" s="4" t="inlineStr">
        <is>
          <t>Desimal (°)</t>
        </is>
      </c>
    </row>
    <row r="4">
      <c r="A4" t="inlineStr">
        <is>
          <t>Lintang tempat (φ)</t>
        </is>
      </c>
      <c r="B4" s="14" t="n">
        <v>6</v>
      </c>
      <c r="C4" s="14" t="n">
        <v>55</v>
      </c>
      <c r="D4" s="14" t="n">
        <v>3</v>
      </c>
      <c r="E4" s="14" t="inlineStr">
        <is>
          <t>LS</t>
        </is>
      </c>
      <c r="F4" s="12">
        <f>(B4+C4/60+D4/3600)*IF(OR(E4="LS",E4="BB"),-1,1)</f>
        <v/>
      </c>
    </row>
    <row r="5">
      <c r="A5" t="inlineStr">
        <is>
          <t>Bujur tempat (λ)</t>
        </is>
      </c>
      <c r="B5" s="14" t="n">
        <v>107</v>
      </c>
      <c r="C5" s="14" t="n">
        <v>37</v>
      </c>
      <c r="D5" s="14" t="n">
        <v>9</v>
      </c>
      <c r="E5" s="14" t="inlineStr">
        <is>
          <t>BT</t>
        </is>
      </c>
      <c r="F5">
        <f>(B5+C5/60+D5/3600)*IF(OR(E5="LS",E5="BB"),-1,1)</f>
        <v/>
      </c>
    </row>
    <row r="6">
      <c r="A6" t="inlineStr">
        <is>
          <t>Lintang Ka'bah (φk)</t>
        </is>
      </c>
      <c r="B6" s="14" t="n">
        <v>21</v>
      </c>
      <c r="C6" s="14" t="n">
        <v>25</v>
      </c>
      <c r="D6" s="14" t="n">
        <v>21</v>
      </c>
      <c r="E6" s="14" t="inlineStr">
        <is>
          <t>LU</t>
        </is>
      </c>
      <c r="F6">
        <f>(B6+C6/60+D6/3600)*IF(OR(E6="LS",E6="BB"),-1,1)</f>
        <v/>
      </c>
    </row>
    <row r="7">
      <c r="A7" t="inlineStr">
        <is>
          <t>Bujur Ka'bah (λk)</t>
        </is>
      </c>
      <c r="B7" s="14" t="n">
        <v>39</v>
      </c>
      <c r="C7" s="14" t="n">
        <v>49</v>
      </c>
      <c r="D7" s="14" t="n">
        <v>34</v>
      </c>
      <c r="E7" s="14" t="inlineStr">
        <is>
          <t>BT</t>
        </is>
      </c>
      <c r="F7">
        <f>(B7+C7/60+D7/3600)*IF(OR(E7="LS",E7="BB"),-1,1)</f>
        <v/>
      </c>
    </row>
    <row r="9">
      <c r="A9" s="4" t="inlineStr">
        <is>
          <t>Langkah perhitungan</t>
        </is>
      </c>
      <c r="B9" s="4" t="inlineStr">
        <is>
          <t>Nilai</t>
        </is>
      </c>
    </row>
    <row r="10">
      <c r="A10" t="inlineStr">
        <is>
          <t>Selisih bujur Δλ = λ − λk (°)</t>
        </is>
      </c>
      <c r="B10" s="12">
        <f>F5-F7</f>
        <v/>
      </c>
    </row>
    <row r="11">
      <c r="A11" t="inlineStr">
        <is>
          <t>Suku 1 = tan φk · cos φ / sin Δλ</t>
        </is>
      </c>
      <c r="B11" s="12">
        <f>TAN(RADIANS(F6))*COS(RADIANS(F4))/SIN(RADIANS(B10))</f>
        <v/>
      </c>
    </row>
    <row r="12">
      <c r="A12" t="inlineStr">
        <is>
          <t>Suku 2 = sin φ / tan Δλ</t>
        </is>
      </c>
      <c r="B12" s="12">
        <f>SIN(RADIANS(F4))/TAN(RADIANS(B10))</f>
        <v/>
      </c>
    </row>
    <row r="13">
      <c r="A13" t="inlineStr">
        <is>
          <t>cot B = suku 1 − suku 2</t>
        </is>
      </c>
      <c r="B13" s="12">
        <f>B11-B12</f>
        <v/>
      </c>
    </row>
    <row r="14">
      <c r="A14" t="inlineStr">
        <is>
          <t>B = arah kiblat dari Utara (°)</t>
        </is>
      </c>
      <c r="B14" s="12">
        <f>DEGREES(ATAN2(SIGN(B10)*B13,1))</f>
        <v/>
      </c>
    </row>
    <row r="15">
      <c r="A15" s="4" t="inlineStr">
        <is>
          <t>Azimut kiblat (°)</t>
        </is>
      </c>
      <c r="B15" s="12">
        <f>IF(B10&gt;0,360-B14,B14)</f>
        <v/>
      </c>
    </row>
    <row r="16">
      <c r="A16" t="inlineStr">
        <is>
          <t>Pemeriksaan dengan ATAN2 (°)</t>
        </is>
      </c>
      <c r="B16" s="12">
        <f>MOD(DEGREES(ATAN2(COS(RADIANS(F4))*TAN(RADIANS(F6))-SIN(RADIANS(F4))*COS(RADIANS(F7-F5)),SIN(RADIANS(F7-F5)))),360)</f>
        <v/>
      </c>
    </row>
    <row r="17">
      <c r="A17" t="inlineStr">
        <is>
          <t>Azimut kiblat (derajat-menit-detik)</t>
        </is>
      </c>
      <c r="B17">
        <f>INT(B15)&amp;"° "&amp;INT(MOD(B15,1)*60)&amp;"′ "&amp;ROUND(MOD(B15*60,1)*60,0)&amp;"″"</f>
        <v/>
      </c>
    </row>
    <row r="18">
      <c r="A18" t="inlineStr">
        <is>
          <t>Notasi falak</t>
        </is>
      </c>
      <c r="B18">
        <f>IF(B15&gt;=270,"B "&amp;ROUND(B15-270,2)&amp;"° U","B "&amp;ROUND(270-B15,2)&amp;"° S")</f>
        <v/>
      </c>
    </row>
    <row r="19">
      <c r="A19" t="inlineStr">
        <is>
          <t>Jarak ke Ka'bah (km)</t>
        </is>
      </c>
      <c r="B19" s="15">
        <f>ACOS(SIN(RADIANS(F4))*SIN(RADIANS(F6))+COS(RADIANS(F4))*COS(RADIANS(F6))*COS(RADIANS(B10)))*6371</f>
        <v/>
      </c>
    </row>
    <row r="21">
      <c r="A21" t="inlineStr">
        <is>
          <t>Azimut arah saf/mihrab terukur (°)</t>
        </is>
      </c>
      <c r="B21" s="16" t="n">
        <v>292</v>
      </c>
    </row>
    <row r="22">
      <c r="A22" t="inlineStr">
        <is>
          <t>Pelencengan ΔA = A saf − A kiblat (°)</t>
        </is>
      </c>
      <c r="B22" s="12">
        <f>B21-B15</f>
        <v/>
      </c>
    </row>
    <row r="23">
      <c r="A23" t="inlineStr">
        <is>
          <t>Meleset dari Ka'bah (km)</t>
        </is>
      </c>
      <c r="B23" s="15">
        <f>6371*ASIN(SIN(B19/6371)*SIN(RADIANS(ABS(B22))))</f>
        <v/>
      </c>
    </row>
  </sheetData>
  <mergeCells count="1">
    <mergeCell ref="A2:F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6" t="inlineStr">
        <is>
          <t>BayanganKiblat</t>
        </is>
      </c>
      <c r="B1" t="inlineStr">
        <is>
          <t>Jam bayangan kiblat harian (Bab 9).</t>
        </is>
      </c>
    </row>
    <row r="2" ht="36" customHeight="1">
      <c r="A2" s="7" t="inlineStr">
        <is>
          <t>Sumber rumus: Segitiga bola: saat azimut Matahari sama dengan azimut kiblat (Khazin, 2004). Ketelitian: Seteliti data Matahari, sekitar ±10 detik waktu.</t>
        </is>
      </c>
    </row>
    <row r="3">
      <c r="A3" s="4" t="inlineStr">
        <is>
          <t>Data</t>
        </is>
      </c>
      <c r="B3" s="4" t="inlineStr">
        <is>
          <t>Nilai</t>
        </is>
      </c>
    </row>
    <row r="4">
      <c r="A4" t="inlineStr">
        <is>
          <t>Lintang φ (°)</t>
        </is>
      </c>
      <c r="B4" s="12">
        <f>Kiblat!F4</f>
        <v/>
      </c>
    </row>
    <row r="5">
      <c r="A5" t="inlineStr">
        <is>
          <t>B = arah kiblat dari Utara (°)</t>
        </is>
      </c>
      <c r="B5" s="12">
        <f>Kiblat!B14</f>
        <v/>
      </c>
    </row>
    <row r="6">
      <c r="A6" t="inlineStr">
        <is>
          <t>Deklinasi δ (°)</t>
        </is>
      </c>
      <c r="B6" s="12">
        <f>Matahari!B18</f>
        <v/>
      </c>
    </row>
    <row r="7">
      <c r="A7" t="inlineStr">
        <is>
          <t>MP (jam desimal)</t>
        </is>
      </c>
      <c r="B7" s="12">
        <f>WaktuSholat!B18</f>
        <v/>
      </c>
    </row>
    <row r="9">
      <c r="A9" t="inlineStr">
        <is>
          <t>b = 90° − φ</t>
        </is>
      </c>
      <c r="B9" s="12">
        <f>90-B4</f>
        <v/>
      </c>
    </row>
    <row r="10">
      <c r="A10" t="inlineStr">
        <is>
          <t>a = 90° − δ</t>
        </is>
      </c>
      <c r="B10" s="12">
        <f>90-B6</f>
        <v/>
      </c>
    </row>
    <row r="11">
      <c r="A11" t="inlineStr">
        <is>
          <t>P (°)</t>
        </is>
      </c>
      <c r="B11" s="12">
        <f>DEGREES(ATAN(1/(COS(RADIANS(B9))*TAN(RADIANS(B5)))))</f>
        <v/>
      </c>
    </row>
    <row r="12">
      <c r="A12" t="inlineStr">
        <is>
          <t>cos(C − P)</t>
        </is>
      </c>
      <c r="B12" s="12">
        <f>TAN(RADIANS(B9))*COS(RADIANS(B11))/TAN(RADIANS(B10))</f>
        <v/>
      </c>
    </row>
    <row r="13">
      <c r="A13" t="inlineStr">
        <is>
          <t>C − P (°)</t>
        </is>
      </c>
      <c r="B13" s="12">
        <f>IF(ABS(B12)&gt;1,"tidak terjadi",DEGREES(ACOS(B12)))</f>
        <v/>
      </c>
    </row>
    <row r="14">
      <c r="A14" t="inlineStr">
        <is>
          <t>C = sudut waktu Matahari (°)</t>
        </is>
      </c>
      <c r="B14" s="12">
        <f>IF(ISNUMBER(B13),B13+B11,"—")</f>
        <v/>
      </c>
    </row>
    <row r="15">
      <c r="A15" s="4" t="inlineStr">
        <is>
          <t>Jam bayangan kiblat (desimal)</t>
        </is>
      </c>
      <c r="B15" s="12">
        <f>IF(ISNUMBER(B14),B7+B14/15,"—")</f>
        <v/>
      </c>
    </row>
    <row r="16">
      <c r="A16" t="inlineStr">
        <is>
          <t>Jam bayangan kiblat</t>
        </is>
      </c>
      <c r="B16" s="17">
        <f>IF(ISNUMBER(B15),B15/24,"—")</f>
        <v/>
      </c>
    </row>
    <row r="17">
      <c r="A17" t="inlineStr">
        <is>
          <t>Cara membaca</t>
        </is>
      </c>
      <c r="B17">
        <f>IF(ISNUMBER(B14),IF(B14&lt;0,"Pagi: kiblat dari tongkat ke ujung bayangan","Sore: kiblat dari ujung bayangan ke tongkat"),"—")</f>
        <v/>
      </c>
    </row>
  </sheetData>
  <mergeCells count="1">
    <mergeCell ref="A2:B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6" t="inlineStr">
        <is>
          <t>WaktuSholat</t>
        </is>
      </c>
      <c r="B1" t="inlineStr">
        <is>
          <t>Waktu salat satu hari (Bab 12 dan 13).</t>
        </is>
      </c>
    </row>
    <row r="2" ht="24" customHeight="1">
      <c r="A2" s="7" t="inlineStr">
        <is>
          <t>Sumber rumus: Sudut waktu cos t = (sin h − sin φ sin δ)/(cos φ cos δ) dengan kriteria Kemenag. Ketelitian: Diuji dengan jadwal Kemenag Kota Bandung: Imsak, Subuh, Dhuha, Ashar, Isya 100% dalam ±1 menit.</t>
        </is>
      </c>
    </row>
    <row r="3">
      <c r="A3" s="4" t="inlineStr">
        <is>
          <t>Masukan</t>
        </is>
      </c>
      <c r="B3" s="4" t="inlineStr">
        <is>
          <t>Nilai</t>
        </is>
      </c>
    </row>
    <row r="4">
      <c r="A4" t="inlineStr">
        <is>
          <t>Lintang φ (°)</t>
        </is>
      </c>
      <c r="B4" s="12">
        <f>Kiblat!F4</f>
        <v/>
      </c>
    </row>
    <row r="5">
      <c r="A5" t="inlineStr">
        <is>
          <t>Bujur λ (°)</t>
        </is>
      </c>
      <c r="B5" s="12">
        <f>Kiblat!F5</f>
        <v/>
      </c>
    </row>
    <row r="6">
      <c r="A6" t="inlineStr">
        <is>
          <t>Zona waktu (UTC+)</t>
        </is>
      </c>
      <c r="B6" s="15">
        <f>Matahari!B6</f>
        <v/>
      </c>
    </row>
    <row r="7">
      <c r="A7" t="inlineStr">
        <is>
          <t>Bujur daerah λd (°)</t>
        </is>
      </c>
      <c r="B7" s="15">
        <f>B6*15</f>
        <v/>
      </c>
    </row>
    <row r="8">
      <c r="A8" t="inlineStr">
        <is>
          <t>Tinggi tempat H (m)</t>
        </is>
      </c>
      <c r="B8" s="10" t="n">
        <v>0</v>
      </c>
    </row>
    <row r="9">
      <c r="A9" t="inlineStr">
        <is>
          <t>Tanggal</t>
        </is>
      </c>
      <c r="B9" s="18">
        <f>Matahari!B4</f>
        <v/>
      </c>
    </row>
    <row r="10">
      <c r="A10" t="inlineStr">
        <is>
          <t>Ihtiyat (menit)</t>
        </is>
      </c>
      <c r="B10" s="10" t="n">
        <v>2</v>
      </c>
    </row>
    <row r="11">
      <c r="A11" t="inlineStr">
        <is>
          <t>Kriteria Subuh (°)</t>
        </is>
      </c>
      <c r="B11" s="16" t="n">
        <v>-20</v>
      </c>
    </row>
    <row r="12">
      <c r="A12" t="inlineStr">
        <is>
          <t>Kriteria Isya (°)</t>
        </is>
      </c>
      <c r="B12" s="16" t="n">
        <v>-18</v>
      </c>
    </row>
    <row r="13">
      <c r="A13" t="inlineStr">
        <is>
          <t>Faktor bayangan Ashar (1 jumhur, 2 Hanafi)</t>
        </is>
      </c>
      <c r="B13" s="10" t="n">
        <v>1</v>
      </c>
    </row>
    <row r="15">
      <c r="A15" s="4" t="inlineStr">
        <is>
          <t>Deklinasi δ (°)</t>
        </is>
      </c>
      <c r="B15" s="12">
        <f>Matahari!B18</f>
        <v/>
      </c>
    </row>
    <row r="16">
      <c r="A16" t="inlineStr">
        <is>
          <t>Perata waktu e (menit)</t>
        </is>
      </c>
      <c r="B16" s="13">
        <f>Matahari!B20</f>
        <v/>
      </c>
    </row>
    <row r="18">
      <c r="A18" t="inlineStr">
        <is>
          <t>MP = saat kulminasi (jam desimal)</t>
        </is>
      </c>
      <c r="B18" s="12">
        <f>12-B16/60+(B7-B5)/15</f>
        <v/>
      </c>
    </row>
    <row r="19">
      <c r="A19" t="inlineStr">
        <is>
          <t>MP (jam:menit:detik)</t>
        </is>
      </c>
      <c r="B19" s="17">
        <f>B18/24</f>
        <v/>
      </c>
    </row>
    <row r="20">
      <c r="A20" t="inlineStr">
        <is>
          <t>cos φ · cos δ</t>
        </is>
      </c>
      <c r="B20" s="12">
        <f>COS(RADIANS(B4))*COS(RADIANS(B15))</f>
        <v/>
      </c>
    </row>
    <row r="21">
      <c r="A21" t="inlineStr">
        <is>
          <t>sin φ · sin δ</t>
        </is>
      </c>
      <c r="B21" s="12">
        <f>SIN(RADIANS(B4))*SIN(RADIANS(B15))</f>
        <v/>
      </c>
    </row>
    <row r="22">
      <c r="A22" t="inlineStr">
        <is>
          <t>h terbenam/terbit (°)</t>
        </is>
      </c>
      <c r="B22" s="12">
        <f>-(16/60+34/60+1.76*SQRT(B8)/60)</f>
        <v/>
      </c>
    </row>
    <row r="23">
      <c r="A23" t="inlineStr">
        <is>
          <t>h Ashar (°)</t>
        </is>
      </c>
      <c r="B23" s="12">
        <f>DEGREES(ATAN(1/(TAN(RADIANS(ABS(B4-B15)))+B13)))</f>
        <v/>
      </c>
    </row>
    <row r="26">
      <c r="A26" s="4" t="inlineStr">
        <is>
          <t>Waktu</t>
        </is>
      </c>
      <c r="B26" s="4" t="inlineStr">
        <is>
          <t>Tinggi h (°)</t>
        </is>
      </c>
      <c r="C26" s="4" t="inlineStr">
        <is>
          <t>cos t</t>
        </is>
      </c>
      <c r="D26" s="4" t="inlineStr">
        <is>
          <t>t (°)</t>
        </is>
      </c>
      <c r="E26" s="4" t="inlineStr">
        <is>
          <t>Jam hitung (desimal)</t>
        </is>
      </c>
      <c r="F26" s="4" t="inlineStr">
        <is>
          <t>Jam hitung</t>
        </is>
      </c>
      <c r="G26" s="4" t="inlineStr">
        <is>
          <t>JADWAL</t>
        </is>
      </c>
    </row>
    <row r="27">
      <c r="A27" t="inlineStr">
        <is>
          <t>Subuh</t>
        </is>
      </c>
      <c r="B27" s="13">
        <f>B11</f>
        <v/>
      </c>
      <c r="C27" s="12">
        <f>(SIN(RADIANS(B27))-$B$21)/$B$20</f>
        <v/>
      </c>
      <c r="D27" s="12">
        <f>DEGREES(ACOS(C27))</f>
        <v/>
      </c>
      <c r="E27" s="12">
        <f>$B$18-D27/15</f>
        <v/>
      </c>
      <c r="F27" s="17">
        <f>E27/24</f>
        <v/>
      </c>
      <c r="G27" s="19">
        <f>CEILING((E27+$B$10/60)/24,1/1440)</f>
        <v/>
      </c>
    </row>
    <row r="28">
      <c r="A28" t="inlineStr">
        <is>
          <t>Terbit</t>
        </is>
      </c>
      <c r="B28">
        <f>B22</f>
        <v/>
      </c>
      <c r="C28">
        <f>(SIN(RADIANS(B28))-$B$21)/$B$20</f>
        <v/>
      </c>
      <c r="D28">
        <f>DEGREES(ACOS(C28))</f>
        <v/>
      </c>
      <c r="E28">
        <f>$B$18-D28/15</f>
        <v/>
      </c>
      <c r="F28">
        <f>E28/24</f>
        <v/>
      </c>
      <c r="G28" s="19">
        <f>FLOOR((E28-$B$10/60)/24,1/1440)</f>
        <v/>
      </c>
    </row>
    <row r="29">
      <c r="A29" t="inlineStr">
        <is>
          <t>Dhuha</t>
        </is>
      </c>
      <c r="B29" s="14" t="n">
        <v>4.5</v>
      </c>
      <c r="C29">
        <f>(SIN(RADIANS(B29))-$B$21)/$B$20</f>
        <v/>
      </c>
      <c r="D29">
        <f>DEGREES(ACOS(C29))</f>
        <v/>
      </c>
      <c r="E29">
        <f>$B$18-D29/15</f>
        <v/>
      </c>
      <c r="F29">
        <f>E29/24</f>
        <v/>
      </c>
      <c r="G29" s="19">
        <f>CEILING((E29+$B$10/60)/24,1/1440)</f>
        <v/>
      </c>
    </row>
    <row r="30">
      <c r="A30" t="inlineStr">
        <is>
          <t>Zuhur</t>
        </is>
      </c>
      <c r="E30" s="12">
        <f>$B$18</f>
        <v/>
      </c>
      <c r="F30" s="17">
        <f>E30/24</f>
        <v/>
      </c>
      <c r="G30" s="19">
        <f>CEILING((E30+$B$10/60)/24,1/1440)</f>
        <v/>
      </c>
    </row>
    <row r="31">
      <c r="A31" t="inlineStr">
        <is>
          <t>Ashar</t>
        </is>
      </c>
      <c r="B31" s="13">
        <f>B23</f>
        <v/>
      </c>
      <c r="C31" s="12">
        <f>(SIN(RADIANS(B31))-$B$21)/$B$20</f>
        <v/>
      </c>
      <c r="D31" s="12">
        <f>DEGREES(ACOS(C31))</f>
        <v/>
      </c>
      <c r="E31" s="12">
        <f>$B$18+D31/15</f>
        <v/>
      </c>
      <c r="F31" s="17">
        <f>E31/24</f>
        <v/>
      </c>
      <c r="G31" s="19">
        <f>CEILING((E31+$B$10/60)/24,1/1440)</f>
        <v/>
      </c>
    </row>
    <row r="32">
      <c r="A32" t="inlineStr">
        <is>
          <t>Maghrib</t>
        </is>
      </c>
      <c r="B32">
        <f>B22</f>
        <v/>
      </c>
      <c r="C32">
        <f>(SIN(RADIANS(B32))-$B$21)/$B$20</f>
        <v/>
      </c>
      <c r="D32">
        <f>DEGREES(ACOS(C32))</f>
        <v/>
      </c>
      <c r="E32">
        <f>$B$18+D32/15</f>
        <v/>
      </c>
      <c r="F32">
        <f>E32/24</f>
        <v/>
      </c>
      <c r="G32" s="19">
        <f>CEILING((E32+$B$10/60)/24,1/1440)</f>
        <v/>
      </c>
    </row>
    <row r="33">
      <c r="A33" t="inlineStr">
        <is>
          <t>Isya</t>
        </is>
      </c>
      <c r="B33">
        <f>B12</f>
        <v/>
      </c>
      <c r="C33">
        <f>(SIN(RADIANS(B33))-$B$21)/$B$20</f>
        <v/>
      </c>
      <c r="D33">
        <f>DEGREES(ACOS(C33))</f>
        <v/>
      </c>
      <c r="E33">
        <f>$B$18+D33/15</f>
        <v/>
      </c>
      <c r="F33">
        <f>E33/24</f>
        <v/>
      </c>
      <c r="G33" s="19">
        <f>CEILING((E33+$B$10/60)/24,1/1440)</f>
        <v/>
      </c>
    </row>
    <row r="34">
      <c r="A34" t="inlineStr">
        <is>
          <t>Imsak</t>
        </is>
      </c>
      <c r="G34" s="19">
        <f>G27-10/1440</f>
        <v/>
      </c>
    </row>
  </sheetData>
  <mergeCells count="1">
    <mergeCell ref="A2:F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6" t="inlineStr">
        <is>
          <t>Jadwal</t>
        </is>
      </c>
      <c r="B1" t="inlineStr">
        <is>
          <t>Jadwal salat satu bulan (Bab 14). Ubah B11 untuk bulan lain.</t>
        </is>
      </c>
    </row>
    <row r="2" ht="24" customHeight="1">
      <c r="A2" s="7" t="inlineStr">
        <is>
          <t>Sumber rumus: Sama dengan Matahari dan WaktuSholat, dihitung ulang untuk setiap tanggal. Ketelitian: Sama dengan WaktuSholat; Terbit dan Maghrib bergantung pada keadaan ufuk setempat.</t>
        </is>
      </c>
    </row>
    <row r="4">
      <c r="A4" t="inlineStr">
        <is>
          <t>Lintang φ (°)</t>
        </is>
      </c>
      <c r="B4" s="12">
        <f>Kiblat!F4</f>
        <v/>
      </c>
    </row>
    <row r="5">
      <c r="A5" t="inlineStr">
        <is>
          <t>Bujur λ (°)</t>
        </is>
      </c>
      <c r="B5" s="12">
        <f>Kiblat!F5</f>
        <v/>
      </c>
    </row>
    <row r="6">
      <c r="A6" t="inlineStr">
        <is>
          <t>Zona waktu (UTC+)</t>
        </is>
      </c>
      <c r="B6" s="15">
        <f>Matahari!B6</f>
        <v/>
      </c>
    </row>
    <row r="7">
      <c r="A7" t="inlineStr">
        <is>
          <t>Tinggi tempat H (m)</t>
        </is>
      </c>
      <c r="B7" s="15">
        <f>WaktuSholat!B8</f>
        <v/>
      </c>
    </row>
    <row r="8">
      <c r="A8" t="inlineStr">
        <is>
          <t>Ihtiyat (menit)</t>
        </is>
      </c>
      <c r="B8" s="15">
        <f>WaktuSholat!B10</f>
        <v/>
      </c>
    </row>
    <row r="9">
      <c r="A9" t="inlineStr">
        <is>
          <t>Kriteria Subuh (°)</t>
        </is>
      </c>
      <c r="B9" s="20">
        <f>WaktuSholat!B11</f>
        <v/>
      </c>
    </row>
    <row r="10">
      <c r="A10" t="inlineStr">
        <is>
          <t>Kriteria Isya (°)</t>
        </is>
      </c>
      <c r="B10" s="20">
        <f>WaktuSholat!B12</f>
        <v/>
      </c>
    </row>
    <row r="11">
      <c r="A11" t="inlineStr">
        <is>
          <t>Tanggal awal bulan</t>
        </is>
      </c>
      <c r="B11" s="8" t="n">
        <v>46327</v>
      </c>
    </row>
    <row r="12">
      <c r="A12" t="inlineStr">
        <is>
          <t>Faktor bayangan Ashar</t>
        </is>
      </c>
      <c r="B12" s="15">
        <f>WaktuSholat!B13</f>
        <v/>
      </c>
    </row>
    <row r="13">
      <c r="A13" t="inlineStr">
        <is>
          <t>h terbenam/terbit (°)</t>
        </is>
      </c>
      <c r="B13" s="12">
        <f>-(16/60+34/60+1.76*SQRT(B7)/60)</f>
        <v/>
      </c>
    </row>
    <row r="15">
      <c r="A15" s="4" t="inlineStr">
        <is>
          <t>Tanggal</t>
        </is>
      </c>
      <c r="B15" s="4" t="inlineStr">
        <is>
          <t>JD (12.00 lokal)</t>
        </is>
      </c>
      <c r="C15" s="4" t="inlineStr">
        <is>
          <t>T</t>
        </is>
      </c>
      <c r="D15" s="4" t="inlineStr">
        <is>
          <t>L0 (°)</t>
        </is>
      </c>
      <c r="E15" s="4" t="inlineStr">
        <is>
          <t>M (°)</t>
        </is>
      </c>
      <c r="F15" s="4" t="inlineStr">
        <is>
          <t>e orbit</t>
        </is>
      </c>
      <c r="G15" s="4" t="inlineStr">
        <is>
          <t>C (°)</t>
        </is>
      </c>
      <c r="H15" s="4" t="inlineStr">
        <is>
          <t>λ☉ (°)</t>
        </is>
      </c>
      <c r="I15" s="4" t="inlineStr">
        <is>
          <t>ε (°)</t>
        </is>
      </c>
      <c r="J15" s="4" t="inlineStr">
        <is>
          <t>δ (°)</t>
        </is>
      </c>
      <c r="K15" s="4" t="inlineStr">
        <is>
          <t>Perata waktu (menit)</t>
        </is>
      </c>
      <c r="L15" s="4" t="inlineStr">
        <is>
          <t>MP (jam)</t>
        </is>
      </c>
      <c r="M15" s="4" t="inlineStr">
        <is>
          <t>sin φ sin δ</t>
        </is>
      </c>
      <c r="N15" s="4" t="inlineStr">
        <is>
          <t>cos φ cos δ</t>
        </is>
      </c>
      <c r="O15" s="4" t="inlineStr">
        <is>
          <t>h Ashar (°)</t>
        </is>
      </c>
      <c r="P15" s="4" t="inlineStr">
        <is>
          <t>Imsak</t>
        </is>
      </c>
      <c r="Q15" s="4" t="inlineStr">
        <is>
          <t>Subuh</t>
        </is>
      </c>
      <c r="R15" s="4" t="inlineStr">
        <is>
          <t>Terbit</t>
        </is>
      </c>
      <c r="S15" s="4" t="inlineStr">
        <is>
          <t>Dhuha</t>
        </is>
      </c>
      <c r="T15" s="4" t="inlineStr">
        <is>
          <t>Zuhur</t>
        </is>
      </c>
      <c r="U15" s="4" t="inlineStr">
        <is>
          <t>Ashar</t>
        </is>
      </c>
      <c r="V15" s="4" t="inlineStr">
        <is>
          <t>Maghrib</t>
        </is>
      </c>
      <c r="W15" s="4" t="inlineStr">
        <is>
          <t>Isya</t>
        </is>
      </c>
    </row>
    <row r="16">
      <c r="A16" s="18">
        <f>$B$11+ROW()-16</f>
        <v/>
      </c>
      <c r="B16" s="13">
        <f>A16+(12-$B$6)/24+2415018.5</f>
        <v/>
      </c>
      <c r="C16" s="12">
        <f>(B16-2451545)/36525</f>
        <v/>
      </c>
      <c r="D16" s="13">
        <f>MOD(280.46646+36000.76983*C16+0.0003032*C16^2,360)</f>
        <v/>
      </c>
      <c r="E16" s="13">
        <f>357.52911+35999.05029*C16-0.0001537*C16^2</f>
        <v/>
      </c>
      <c r="F16" s="12">
        <f>0.016708634-0.000042037*C16</f>
        <v/>
      </c>
      <c r="G16" s="13">
        <f>SIN(RADIANS(E16))*(1.914602-0.004817*C16)+SIN(RADIANS(2*E16))*(0.019993-0.000101*C16)+0.000289*SIN(RADIANS(3*E16))</f>
        <v/>
      </c>
      <c r="H16" s="13">
        <f>D16+G16-0.00569-0.00478*SIN(RADIANS(125.04-1934.136*C16))</f>
        <v/>
      </c>
      <c r="I16" s="13">
        <f>23.4392911-0.0130042*C16+0.00256*COS(RADIANS(125.04-1934.136*C16))</f>
        <v/>
      </c>
      <c r="J16" s="13">
        <f>DEGREES(ASIN(SIN(RADIANS(I16))*SIN(RADIANS(H16))))</f>
        <v/>
      </c>
      <c r="K16" s="21">
        <f>4*DEGREES(TAN(RADIANS(I16/2))^2*SIN(2*RADIANS(D16))-2*F16*SIN(RADIANS(E16))+4*F16*TAN(RADIANS(I16/2))^2*SIN(RADIANS(E16))*COS(2*RADIANS(D16))-0.5*TAN(RADIANS(I16/2))^4*SIN(4*RADIANS(D16))-1.25*F16^2*SIN(2*RADIANS(E16)))</f>
        <v/>
      </c>
      <c r="L16" s="13">
        <f>12-K16/60+($B$6*15-$B$5)/15</f>
        <v/>
      </c>
      <c r="M16" s="12">
        <f>SIN(RADIANS($B$4))*SIN(RADIANS(J16))</f>
        <v/>
      </c>
      <c r="N16" s="12">
        <f>COS(RADIANS($B$4))*COS(RADIANS(J16))</f>
        <v/>
      </c>
      <c r="O16" s="13">
        <f>DEGREES(ATAN(1/(TAN(RADIANS(ABS($B$4-J16)))+$B$12)))</f>
        <v/>
      </c>
      <c r="P16" s="19">
        <f>Q16-10/1440</f>
        <v/>
      </c>
      <c r="Q16" s="19">
        <f>CEILING(($L16-DEGREES(ACOS((SIN(RADIANS($B$9))-$M16)/$N16))/15+$B$8/60)/24,1/1440)</f>
        <v/>
      </c>
      <c r="R16" s="19">
        <f>FLOOR(($L16-DEGREES(ACOS((SIN(RADIANS($B$13))-$M16)/$N16))/15-$B$8/60)/24,1/1440)</f>
        <v/>
      </c>
      <c r="S16" s="19">
        <f>CEILING(($L16-DEGREES(ACOS((SIN(RADIANS(4.5))-$M16)/$N16))/15+$B$8/60)/24,1/1440)</f>
        <v/>
      </c>
      <c r="T16" s="19">
        <f>CEILING(($L16+$B$8/60)/24,1/1440)</f>
        <v/>
      </c>
      <c r="U16" s="19">
        <f>CEILING(($L16+DEGREES(ACOS((SIN(RADIANS($O16))-$M16)/$N16))/15+$B$8/60)/24,1/1440)</f>
        <v/>
      </c>
      <c r="V16" s="19">
        <f>CEILING(($L16+DEGREES(ACOS((SIN(RADIANS($B$13))-$M16)/$N16))/15+$B$8/60)/24,1/1440)</f>
        <v/>
      </c>
      <c r="W16" s="19">
        <f>CEILING(($L16+DEGREES(ACOS((SIN(RADIANS($B$10))-$M16)/$N16))/15+$B$8/60)/24,1/1440)</f>
        <v/>
      </c>
    </row>
    <row r="17">
      <c r="A17" s="18">
        <f>$B$11+ROW()-16</f>
        <v/>
      </c>
      <c r="B17">
        <f>A17+(12-$B$6)/24+2415018.5</f>
        <v/>
      </c>
      <c r="C17">
        <f>(B17-2451545)/36525</f>
        <v/>
      </c>
      <c r="D17">
        <f>MOD(280.46646+36000.76983*C17+0.0003032*C17^2,360)</f>
        <v/>
      </c>
      <c r="E17">
        <f>357.52911+35999.05029*C17-0.0001537*C17^2</f>
        <v/>
      </c>
      <c r="F17">
        <f>0.016708634-0.000042037*C17</f>
        <v/>
      </c>
      <c r="G17">
        <f>SIN(RADIANS(E17))*(1.914602-0.004817*C17)+SIN(RADIANS(2*E17))*(0.019993-0.000101*C17)+0.000289*SIN(RADIANS(3*E17))</f>
        <v/>
      </c>
      <c r="H17">
        <f>D17+G17-0.00569-0.00478*SIN(RADIANS(125.04-1934.136*C17))</f>
        <v/>
      </c>
      <c r="I17">
        <f>23.4392911-0.0130042*C17+0.00256*COS(RADIANS(125.04-1934.136*C17))</f>
        <v/>
      </c>
      <c r="J17">
        <f>DEGREES(ASIN(SIN(RADIANS(I17))*SIN(RADIANS(H17))))</f>
        <v/>
      </c>
      <c r="K17">
        <f>4*DEGREES(TAN(RADIANS(I17/2))^2*SIN(2*RADIANS(D17))-2*F17*SIN(RADIANS(E17))+4*F17*TAN(RADIANS(I17/2))^2*SIN(RADIANS(E17))*COS(2*RADIANS(D17))-0.5*TAN(RADIANS(I17/2))^4*SIN(4*RADIANS(D17))-1.25*F17^2*SIN(2*RADIANS(E17)))</f>
        <v/>
      </c>
      <c r="L17">
        <f>12-K17/60+($B$6*15-$B$5)/15</f>
        <v/>
      </c>
      <c r="M17">
        <f>SIN(RADIANS($B$4))*SIN(RADIANS(J17))</f>
        <v/>
      </c>
      <c r="N17">
        <f>COS(RADIANS($B$4))*COS(RADIANS(J17))</f>
        <v/>
      </c>
      <c r="O17">
        <f>DEGREES(ATAN(1/(TAN(RADIANS(ABS($B$4-J17)))+$B$12)))</f>
        <v/>
      </c>
      <c r="P17" s="19">
        <f>Q17-10/1440</f>
        <v/>
      </c>
      <c r="Q17" s="19">
        <f>CEILING(($L17-DEGREES(ACOS((SIN(RADIANS($B$9))-$M17)/$N17))/15+$B$8/60)/24,1/1440)</f>
        <v/>
      </c>
      <c r="R17" s="19">
        <f>FLOOR(($L17-DEGREES(ACOS((SIN(RADIANS($B$13))-$M17)/$N17))/15-$B$8/60)/24,1/1440)</f>
        <v/>
      </c>
      <c r="S17" s="19">
        <f>CEILING(($L17-DEGREES(ACOS((SIN(RADIANS(4.5))-$M17)/$N17))/15+$B$8/60)/24,1/1440)</f>
        <v/>
      </c>
      <c r="T17" s="19">
        <f>CEILING(($L17+$B$8/60)/24,1/1440)</f>
        <v/>
      </c>
      <c r="U17" s="19">
        <f>CEILING(($L17+DEGREES(ACOS((SIN(RADIANS($O17))-$M17)/$N17))/15+$B$8/60)/24,1/1440)</f>
        <v/>
      </c>
      <c r="V17" s="19">
        <f>CEILING(($L17+DEGREES(ACOS((SIN(RADIANS($B$13))-$M17)/$N17))/15+$B$8/60)/24,1/1440)</f>
        <v/>
      </c>
      <c r="W17" s="19">
        <f>CEILING(($L17+DEGREES(ACOS((SIN(RADIANS($B$10))-$M17)/$N17))/15+$B$8/60)/24,1/1440)</f>
        <v/>
      </c>
    </row>
    <row r="18">
      <c r="A18" s="18">
        <f>$B$11+ROW()-16</f>
        <v/>
      </c>
      <c r="B18">
        <f>A18+(12-$B$6)/24+2415018.5</f>
        <v/>
      </c>
      <c r="C18">
        <f>(B18-2451545)/36525</f>
        <v/>
      </c>
      <c r="D18">
        <f>MOD(280.46646+36000.76983*C18+0.0003032*C18^2,360)</f>
        <v/>
      </c>
      <c r="E18">
        <f>357.52911+35999.05029*C18-0.0001537*C18^2</f>
        <v/>
      </c>
      <c r="F18">
        <f>0.016708634-0.000042037*C18</f>
        <v/>
      </c>
      <c r="G18">
        <f>SIN(RADIANS(E18))*(1.914602-0.004817*C18)+SIN(RADIANS(2*E18))*(0.019993-0.000101*C18)+0.000289*SIN(RADIANS(3*E18))</f>
        <v/>
      </c>
      <c r="H18">
        <f>D18+G18-0.00569-0.00478*SIN(RADIANS(125.04-1934.136*C18))</f>
        <v/>
      </c>
      <c r="I18">
        <f>23.4392911-0.0130042*C18+0.00256*COS(RADIANS(125.04-1934.136*C18))</f>
        <v/>
      </c>
      <c r="J18">
        <f>DEGREES(ASIN(SIN(RADIANS(I18))*SIN(RADIANS(H18))))</f>
        <v/>
      </c>
      <c r="K18">
        <f>4*DEGREES(TAN(RADIANS(I18/2))^2*SIN(2*RADIANS(D18))-2*F18*SIN(RADIANS(E18))+4*F18*TAN(RADIANS(I18/2))^2*SIN(RADIANS(E18))*COS(2*RADIANS(D18))-0.5*TAN(RADIANS(I18/2))^4*SIN(4*RADIANS(D18))-1.25*F18^2*SIN(2*RADIANS(E18)))</f>
        <v/>
      </c>
      <c r="L18">
        <f>12-K18/60+($B$6*15-$B$5)/15</f>
        <v/>
      </c>
      <c r="M18">
        <f>SIN(RADIANS($B$4))*SIN(RADIANS(J18))</f>
        <v/>
      </c>
      <c r="N18">
        <f>COS(RADIANS($B$4))*COS(RADIANS(J18))</f>
        <v/>
      </c>
      <c r="O18">
        <f>DEGREES(ATAN(1/(TAN(RADIANS(ABS($B$4-J18)))+$B$12)))</f>
        <v/>
      </c>
      <c r="P18" s="19">
        <f>Q18-10/1440</f>
        <v/>
      </c>
      <c r="Q18" s="19">
        <f>CEILING(($L18-DEGREES(ACOS((SIN(RADIANS($B$9))-$M18)/$N18))/15+$B$8/60)/24,1/1440)</f>
        <v/>
      </c>
      <c r="R18" s="19">
        <f>FLOOR(($L18-DEGREES(ACOS((SIN(RADIANS($B$13))-$M18)/$N18))/15-$B$8/60)/24,1/1440)</f>
        <v/>
      </c>
      <c r="S18" s="19">
        <f>CEILING(($L18-DEGREES(ACOS((SIN(RADIANS(4.5))-$M18)/$N18))/15+$B$8/60)/24,1/1440)</f>
        <v/>
      </c>
      <c r="T18" s="19">
        <f>CEILING(($L18+$B$8/60)/24,1/1440)</f>
        <v/>
      </c>
      <c r="U18" s="19">
        <f>CEILING(($L18+DEGREES(ACOS((SIN(RADIANS($O18))-$M18)/$N18))/15+$B$8/60)/24,1/1440)</f>
        <v/>
      </c>
      <c r="V18" s="19">
        <f>CEILING(($L18+DEGREES(ACOS((SIN(RADIANS($B$13))-$M18)/$N18))/15+$B$8/60)/24,1/1440)</f>
        <v/>
      </c>
      <c r="W18" s="19">
        <f>CEILING(($L18+DEGREES(ACOS((SIN(RADIANS($B$10))-$M18)/$N18))/15+$B$8/60)/24,1/1440)</f>
        <v/>
      </c>
    </row>
    <row r="19">
      <c r="A19" s="18">
        <f>$B$11+ROW()-16</f>
        <v/>
      </c>
      <c r="B19">
        <f>A19+(12-$B$6)/24+2415018.5</f>
        <v/>
      </c>
      <c r="C19">
        <f>(B19-2451545)/36525</f>
        <v/>
      </c>
      <c r="D19">
        <f>MOD(280.46646+36000.76983*C19+0.0003032*C19^2,360)</f>
        <v/>
      </c>
      <c r="E19">
        <f>357.52911+35999.05029*C19-0.0001537*C19^2</f>
        <v/>
      </c>
      <c r="F19">
        <f>0.016708634-0.000042037*C19</f>
        <v/>
      </c>
      <c r="G19">
        <f>SIN(RADIANS(E19))*(1.914602-0.004817*C19)+SIN(RADIANS(2*E19))*(0.019993-0.000101*C19)+0.000289*SIN(RADIANS(3*E19))</f>
        <v/>
      </c>
      <c r="H19">
        <f>D19+G19-0.00569-0.00478*SIN(RADIANS(125.04-1934.136*C19))</f>
        <v/>
      </c>
      <c r="I19">
        <f>23.4392911-0.0130042*C19+0.00256*COS(RADIANS(125.04-1934.136*C19))</f>
        <v/>
      </c>
      <c r="J19">
        <f>DEGREES(ASIN(SIN(RADIANS(I19))*SIN(RADIANS(H19))))</f>
        <v/>
      </c>
      <c r="K19">
        <f>4*DEGREES(TAN(RADIANS(I19/2))^2*SIN(2*RADIANS(D19))-2*F19*SIN(RADIANS(E19))+4*F19*TAN(RADIANS(I19/2))^2*SIN(RADIANS(E19))*COS(2*RADIANS(D19))-0.5*TAN(RADIANS(I19/2))^4*SIN(4*RADIANS(D19))-1.25*F19^2*SIN(2*RADIANS(E19)))</f>
        <v/>
      </c>
      <c r="L19">
        <f>12-K19/60+($B$6*15-$B$5)/15</f>
        <v/>
      </c>
      <c r="M19">
        <f>SIN(RADIANS($B$4))*SIN(RADIANS(J19))</f>
        <v/>
      </c>
      <c r="N19">
        <f>COS(RADIANS($B$4))*COS(RADIANS(J19))</f>
        <v/>
      </c>
      <c r="O19">
        <f>DEGREES(ATAN(1/(TAN(RADIANS(ABS($B$4-J19)))+$B$12)))</f>
        <v/>
      </c>
      <c r="P19" s="19">
        <f>Q19-10/1440</f>
        <v/>
      </c>
      <c r="Q19" s="19">
        <f>CEILING(($L19-DEGREES(ACOS((SIN(RADIANS($B$9))-$M19)/$N19))/15+$B$8/60)/24,1/1440)</f>
        <v/>
      </c>
      <c r="R19" s="19">
        <f>FLOOR(($L19-DEGREES(ACOS((SIN(RADIANS($B$13))-$M19)/$N19))/15-$B$8/60)/24,1/1440)</f>
        <v/>
      </c>
      <c r="S19" s="19">
        <f>CEILING(($L19-DEGREES(ACOS((SIN(RADIANS(4.5))-$M19)/$N19))/15+$B$8/60)/24,1/1440)</f>
        <v/>
      </c>
      <c r="T19" s="19">
        <f>CEILING(($L19+$B$8/60)/24,1/1440)</f>
        <v/>
      </c>
      <c r="U19" s="19">
        <f>CEILING(($L19+DEGREES(ACOS((SIN(RADIANS($O19))-$M19)/$N19))/15+$B$8/60)/24,1/1440)</f>
        <v/>
      </c>
      <c r="V19" s="19">
        <f>CEILING(($L19+DEGREES(ACOS((SIN(RADIANS($B$13))-$M19)/$N19))/15+$B$8/60)/24,1/1440)</f>
        <v/>
      </c>
      <c r="W19" s="19">
        <f>CEILING(($L19+DEGREES(ACOS((SIN(RADIANS($B$10))-$M19)/$N19))/15+$B$8/60)/24,1/1440)</f>
        <v/>
      </c>
    </row>
    <row r="20">
      <c r="A20" s="18">
        <f>$B$11+ROW()-16</f>
        <v/>
      </c>
      <c r="B20">
        <f>A20+(12-$B$6)/24+2415018.5</f>
        <v/>
      </c>
      <c r="C20">
        <f>(B20-2451545)/36525</f>
        <v/>
      </c>
      <c r="D20">
        <f>MOD(280.46646+36000.76983*C20+0.0003032*C20^2,360)</f>
        <v/>
      </c>
      <c r="E20">
        <f>357.52911+35999.05029*C20-0.0001537*C20^2</f>
        <v/>
      </c>
      <c r="F20">
        <f>0.016708634-0.000042037*C20</f>
        <v/>
      </c>
      <c r="G20">
        <f>SIN(RADIANS(E20))*(1.914602-0.004817*C20)+SIN(RADIANS(2*E20))*(0.019993-0.000101*C20)+0.000289*SIN(RADIANS(3*E20))</f>
        <v/>
      </c>
      <c r="H20">
        <f>D20+G20-0.00569-0.00478*SIN(RADIANS(125.04-1934.136*C20))</f>
        <v/>
      </c>
      <c r="I20">
        <f>23.4392911-0.0130042*C20+0.00256*COS(RADIANS(125.04-1934.136*C20))</f>
        <v/>
      </c>
      <c r="J20">
        <f>DEGREES(ASIN(SIN(RADIANS(I20))*SIN(RADIANS(H20))))</f>
        <v/>
      </c>
      <c r="K20">
        <f>4*DEGREES(TAN(RADIANS(I20/2))^2*SIN(2*RADIANS(D20))-2*F20*SIN(RADIANS(E20))+4*F20*TAN(RADIANS(I20/2))^2*SIN(RADIANS(E20))*COS(2*RADIANS(D20))-0.5*TAN(RADIANS(I20/2))^4*SIN(4*RADIANS(D20))-1.25*F20^2*SIN(2*RADIANS(E20)))</f>
        <v/>
      </c>
      <c r="L20">
        <f>12-K20/60+($B$6*15-$B$5)/15</f>
        <v/>
      </c>
      <c r="M20">
        <f>SIN(RADIANS($B$4))*SIN(RADIANS(J20))</f>
        <v/>
      </c>
      <c r="N20">
        <f>COS(RADIANS($B$4))*COS(RADIANS(J20))</f>
        <v/>
      </c>
      <c r="O20">
        <f>DEGREES(ATAN(1/(TAN(RADIANS(ABS($B$4-J20)))+$B$12)))</f>
        <v/>
      </c>
      <c r="P20" s="19">
        <f>Q20-10/1440</f>
        <v/>
      </c>
      <c r="Q20" s="19">
        <f>CEILING(($L20-DEGREES(ACOS((SIN(RADIANS($B$9))-$M20)/$N20))/15+$B$8/60)/24,1/1440)</f>
        <v/>
      </c>
      <c r="R20" s="19">
        <f>FLOOR(($L20-DEGREES(ACOS((SIN(RADIANS($B$13))-$M20)/$N20))/15-$B$8/60)/24,1/1440)</f>
        <v/>
      </c>
      <c r="S20" s="19">
        <f>CEILING(($L20-DEGREES(ACOS((SIN(RADIANS(4.5))-$M20)/$N20))/15+$B$8/60)/24,1/1440)</f>
        <v/>
      </c>
      <c r="T20" s="19">
        <f>CEILING(($L20+$B$8/60)/24,1/1440)</f>
        <v/>
      </c>
      <c r="U20" s="19">
        <f>CEILING(($L20+DEGREES(ACOS((SIN(RADIANS($O20))-$M20)/$N20))/15+$B$8/60)/24,1/1440)</f>
        <v/>
      </c>
      <c r="V20" s="19">
        <f>CEILING(($L20+DEGREES(ACOS((SIN(RADIANS($B$13))-$M20)/$N20))/15+$B$8/60)/24,1/1440)</f>
        <v/>
      </c>
      <c r="W20" s="19">
        <f>CEILING(($L20+DEGREES(ACOS((SIN(RADIANS($B$10))-$M20)/$N20))/15+$B$8/60)/24,1/1440)</f>
        <v/>
      </c>
    </row>
    <row r="21">
      <c r="A21" s="18">
        <f>$B$11+ROW()-16</f>
        <v/>
      </c>
      <c r="B21">
        <f>A21+(12-$B$6)/24+2415018.5</f>
        <v/>
      </c>
      <c r="C21">
        <f>(B21-2451545)/36525</f>
        <v/>
      </c>
      <c r="D21">
        <f>MOD(280.46646+36000.76983*C21+0.0003032*C21^2,360)</f>
        <v/>
      </c>
      <c r="E21">
        <f>357.52911+35999.05029*C21-0.0001537*C21^2</f>
        <v/>
      </c>
      <c r="F21">
        <f>0.016708634-0.000042037*C21</f>
        <v/>
      </c>
      <c r="G21">
        <f>SIN(RADIANS(E21))*(1.914602-0.004817*C21)+SIN(RADIANS(2*E21))*(0.019993-0.000101*C21)+0.000289*SIN(RADIANS(3*E21))</f>
        <v/>
      </c>
      <c r="H21">
        <f>D21+G21-0.00569-0.00478*SIN(RADIANS(125.04-1934.136*C21))</f>
        <v/>
      </c>
      <c r="I21">
        <f>23.4392911-0.0130042*C21+0.00256*COS(RADIANS(125.04-1934.136*C21))</f>
        <v/>
      </c>
      <c r="J21">
        <f>DEGREES(ASIN(SIN(RADIANS(I21))*SIN(RADIANS(H21))))</f>
        <v/>
      </c>
      <c r="K21">
        <f>4*DEGREES(TAN(RADIANS(I21/2))^2*SIN(2*RADIANS(D21))-2*F21*SIN(RADIANS(E21))+4*F21*TAN(RADIANS(I21/2))^2*SIN(RADIANS(E21))*COS(2*RADIANS(D21))-0.5*TAN(RADIANS(I21/2))^4*SIN(4*RADIANS(D21))-1.25*F21^2*SIN(2*RADIANS(E21)))</f>
        <v/>
      </c>
      <c r="L21">
        <f>12-K21/60+($B$6*15-$B$5)/15</f>
        <v/>
      </c>
      <c r="M21">
        <f>SIN(RADIANS($B$4))*SIN(RADIANS(J21))</f>
        <v/>
      </c>
      <c r="N21">
        <f>COS(RADIANS($B$4))*COS(RADIANS(J21))</f>
        <v/>
      </c>
      <c r="O21">
        <f>DEGREES(ATAN(1/(TAN(RADIANS(ABS($B$4-J21)))+$B$12)))</f>
        <v/>
      </c>
      <c r="P21" s="19">
        <f>Q21-10/1440</f>
        <v/>
      </c>
      <c r="Q21" s="19">
        <f>CEILING(($L21-DEGREES(ACOS((SIN(RADIANS($B$9))-$M21)/$N21))/15+$B$8/60)/24,1/1440)</f>
        <v/>
      </c>
      <c r="R21" s="19">
        <f>FLOOR(($L21-DEGREES(ACOS((SIN(RADIANS($B$13))-$M21)/$N21))/15-$B$8/60)/24,1/1440)</f>
        <v/>
      </c>
      <c r="S21" s="19">
        <f>CEILING(($L21-DEGREES(ACOS((SIN(RADIANS(4.5))-$M21)/$N21))/15+$B$8/60)/24,1/1440)</f>
        <v/>
      </c>
      <c r="T21" s="19">
        <f>CEILING(($L21+$B$8/60)/24,1/1440)</f>
        <v/>
      </c>
      <c r="U21" s="19">
        <f>CEILING(($L21+DEGREES(ACOS((SIN(RADIANS($O21))-$M21)/$N21))/15+$B$8/60)/24,1/1440)</f>
        <v/>
      </c>
      <c r="V21" s="19">
        <f>CEILING(($L21+DEGREES(ACOS((SIN(RADIANS($B$13))-$M21)/$N21))/15+$B$8/60)/24,1/1440)</f>
        <v/>
      </c>
      <c r="W21" s="19">
        <f>CEILING(($L21+DEGREES(ACOS((SIN(RADIANS($B$10))-$M21)/$N21))/15+$B$8/60)/24,1/1440)</f>
        <v/>
      </c>
    </row>
    <row r="22">
      <c r="A22" s="18">
        <f>$B$11+ROW()-16</f>
        <v/>
      </c>
      <c r="B22">
        <f>A22+(12-$B$6)/24+2415018.5</f>
        <v/>
      </c>
      <c r="C22">
        <f>(B22-2451545)/36525</f>
        <v/>
      </c>
      <c r="D22">
        <f>MOD(280.46646+36000.76983*C22+0.0003032*C22^2,360)</f>
        <v/>
      </c>
      <c r="E22">
        <f>357.52911+35999.05029*C22-0.0001537*C22^2</f>
        <v/>
      </c>
      <c r="F22">
        <f>0.016708634-0.000042037*C22</f>
        <v/>
      </c>
      <c r="G22">
        <f>SIN(RADIANS(E22))*(1.914602-0.004817*C22)+SIN(RADIANS(2*E22))*(0.019993-0.000101*C22)+0.000289*SIN(RADIANS(3*E22))</f>
        <v/>
      </c>
      <c r="H22">
        <f>D22+G22-0.00569-0.00478*SIN(RADIANS(125.04-1934.136*C22))</f>
        <v/>
      </c>
      <c r="I22">
        <f>23.4392911-0.0130042*C22+0.00256*COS(RADIANS(125.04-1934.136*C22))</f>
        <v/>
      </c>
      <c r="J22">
        <f>DEGREES(ASIN(SIN(RADIANS(I22))*SIN(RADIANS(H22))))</f>
        <v/>
      </c>
      <c r="K22">
        <f>4*DEGREES(TAN(RADIANS(I22/2))^2*SIN(2*RADIANS(D22))-2*F22*SIN(RADIANS(E22))+4*F22*TAN(RADIANS(I22/2))^2*SIN(RADIANS(E22))*COS(2*RADIANS(D22))-0.5*TAN(RADIANS(I22/2))^4*SIN(4*RADIANS(D22))-1.25*F22^2*SIN(2*RADIANS(E22)))</f>
        <v/>
      </c>
      <c r="L22">
        <f>12-K22/60+($B$6*15-$B$5)/15</f>
        <v/>
      </c>
      <c r="M22">
        <f>SIN(RADIANS($B$4))*SIN(RADIANS(J22))</f>
        <v/>
      </c>
      <c r="N22">
        <f>COS(RADIANS($B$4))*COS(RADIANS(J22))</f>
        <v/>
      </c>
      <c r="O22">
        <f>DEGREES(ATAN(1/(TAN(RADIANS(ABS($B$4-J22)))+$B$12)))</f>
        <v/>
      </c>
      <c r="P22" s="19">
        <f>Q22-10/1440</f>
        <v/>
      </c>
      <c r="Q22" s="19">
        <f>CEILING(($L22-DEGREES(ACOS((SIN(RADIANS($B$9))-$M22)/$N22))/15+$B$8/60)/24,1/1440)</f>
        <v/>
      </c>
      <c r="R22" s="19">
        <f>FLOOR(($L22-DEGREES(ACOS((SIN(RADIANS($B$13))-$M22)/$N22))/15-$B$8/60)/24,1/1440)</f>
        <v/>
      </c>
      <c r="S22" s="19">
        <f>CEILING(($L22-DEGREES(ACOS((SIN(RADIANS(4.5))-$M22)/$N22))/15+$B$8/60)/24,1/1440)</f>
        <v/>
      </c>
      <c r="T22" s="19">
        <f>CEILING(($L22+$B$8/60)/24,1/1440)</f>
        <v/>
      </c>
      <c r="U22" s="19">
        <f>CEILING(($L22+DEGREES(ACOS((SIN(RADIANS($O22))-$M22)/$N22))/15+$B$8/60)/24,1/1440)</f>
        <v/>
      </c>
      <c r="V22" s="19">
        <f>CEILING(($L22+DEGREES(ACOS((SIN(RADIANS($B$13))-$M22)/$N22))/15+$B$8/60)/24,1/1440)</f>
        <v/>
      </c>
      <c r="W22" s="19">
        <f>CEILING(($L22+DEGREES(ACOS((SIN(RADIANS($B$10))-$M22)/$N22))/15+$B$8/60)/24,1/1440)</f>
        <v/>
      </c>
    </row>
    <row r="23">
      <c r="A23" s="18">
        <f>$B$11+ROW()-16</f>
        <v/>
      </c>
      <c r="B23">
        <f>A23+(12-$B$6)/24+2415018.5</f>
        <v/>
      </c>
      <c r="C23">
        <f>(B23-2451545)/36525</f>
        <v/>
      </c>
      <c r="D23">
        <f>MOD(280.46646+36000.76983*C23+0.0003032*C23^2,360)</f>
        <v/>
      </c>
      <c r="E23">
        <f>357.52911+35999.05029*C23-0.0001537*C23^2</f>
        <v/>
      </c>
      <c r="F23">
        <f>0.016708634-0.000042037*C23</f>
        <v/>
      </c>
      <c r="G23">
        <f>SIN(RADIANS(E23))*(1.914602-0.004817*C23)+SIN(RADIANS(2*E23))*(0.019993-0.000101*C23)+0.000289*SIN(RADIANS(3*E23))</f>
        <v/>
      </c>
      <c r="H23">
        <f>D23+G23-0.00569-0.00478*SIN(RADIANS(125.04-1934.136*C23))</f>
        <v/>
      </c>
      <c r="I23">
        <f>23.4392911-0.0130042*C23+0.00256*COS(RADIANS(125.04-1934.136*C23))</f>
        <v/>
      </c>
      <c r="J23">
        <f>DEGREES(ASIN(SIN(RADIANS(I23))*SIN(RADIANS(H23))))</f>
        <v/>
      </c>
      <c r="K23">
        <f>4*DEGREES(TAN(RADIANS(I23/2))^2*SIN(2*RADIANS(D23))-2*F23*SIN(RADIANS(E23))+4*F23*TAN(RADIANS(I23/2))^2*SIN(RADIANS(E23))*COS(2*RADIANS(D23))-0.5*TAN(RADIANS(I23/2))^4*SIN(4*RADIANS(D23))-1.25*F23^2*SIN(2*RADIANS(E23)))</f>
        <v/>
      </c>
      <c r="L23">
        <f>12-K23/60+($B$6*15-$B$5)/15</f>
        <v/>
      </c>
      <c r="M23">
        <f>SIN(RADIANS($B$4))*SIN(RADIANS(J23))</f>
        <v/>
      </c>
      <c r="N23">
        <f>COS(RADIANS($B$4))*COS(RADIANS(J23))</f>
        <v/>
      </c>
      <c r="O23">
        <f>DEGREES(ATAN(1/(TAN(RADIANS(ABS($B$4-J23)))+$B$12)))</f>
        <v/>
      </c>
      <c r="P23" s="19">
        <f>Q23-10/1440</f>
        <v/>
      </c>
      <c r="Q23" s="19">
        <f>CEILING(($L23-DEGREES(ACOS((SIN(RADIANS($B$9))-$M23)/$N23))/15+$B$8/60)/24,1/1440)</f>
        <v/>
      </c>
      <c r="R23" s="19">
        <f>FLOOR(($L23-DEGREES(ACOS((SIN(RADIANS($B$13))-$M23)/$N23))/15-$B$8/60)/24,1/1440)</f>
        <v/>
      </c>
      <c r="S23" s="19">
        <f>CEILING(($L23-DEGREES(ACOS((SIN(RADIANS(4.5))-$M23)/$N23))/15+$B$8/60)/24,1/1440)</f>
        <v/>
      </c>
      <c r="T23" s="19">
        <f>CEILING(($L23+$B$8/60)/24,1/1440)</f>
        <v/>
      </c>
      <c r="U23" s="19">
        <f>CEILING(($L23+DEGREES(ACOS((SIN(RADIANS($O23))-$M23)/$N23))/15+$B$8/60)/24,1/1440)</f>
        <v/>
      </c>
      <c r="V23" s="19">
        <f>CEILING(($L23+DEGREES(ACOS((SIN(RADIANS($B$13))-$M23)/$N23))/15+$B$8/60)/24,1/1440)</f>
        <v/>
      </c>
      <c r="W23" s="19">
        <f>CEILING(($L23+DEGREES(ACOS((SIN(RADIANS($B$10))-$M23)/$N23))/15+$B$8/60)/24,1/1440)</f>
        <v/>
      </c>
    </row>
    <row r="24">
      <c r="A24" s="18">
        <f>$B$11+ROW()-16</f>
        <v/>
      </c>
      <c r="B24">
        <f>A24+(12-$B$6)/24+2415018.5</f>
        <v/>
      </c>
      <c r="C24">
        <f>(B24-2451545)/36525</f>
        <v/>
      </c>
      <c r="D24">
        <f>MOD(280.46646+36000.76983*C24+0.0003032*C24^2,360)</f>
        <v/>
      </c>
      <c r="E24">
        <f>357.52911+35999.05029*C24-0.0001537*C24^2</f>
        <v/>
      </c>
      <c r="F24">
        <f>0.016708634-0.000042037*C24</f>
        <v/>
      </c>
      <c r="G24">
        <f>SIN(RADIANS(E24))*(1.914602-0.004817*C24)+SIN(RADIANS(2*E24))*(0.019993-0.000101*C24)+0.000289*SIN(RADIANS(3*E24))</f>
        <v/>
      </c>
      <c r="H24">
        <f>D24+G24-0.00569-0.00478*SIN(RADIANS(125.04-1934.136*C24))</f>
        <v/>
      </c>
      <c r="I24">
        <f>23.4392911-0.0130042*C24+0.00256*COS(RADIANS(125.04-1934.136*C24))</f>
        <v/>
      </c>
      <c r="J24">
        <f>DEGREES(ASIN(SIN(RADIANS(I24))*SIN(RADIANS(H24))))</f>
        <v/>
      </c>
      <c r="K24">
        <f>4*DEGREES(TAN(RADIANS(I24/2))^2*SIN(2*RADIANS(D24))-2*F24*SIN(RADIANS(E24))+4*F24*TAN(RADIANS(I24/2))^2*SIN(RADIANS(E24))*COS(2*RADIANS(D24))-0.5*TAN(RADIANS(I24/2))^4*SIN(4*RADIANS(D24))-1.25*F24^2*SIN(2*RADIANS(E24)))</f>
        <v/>
      </c>
      <c r="L24">
        <f>12-K24/60+($B$6*15-$B$5)/15</f>
        <v/>
      </c>
      <c r="M24">
        <f>SIN(RADIANS($B$4))*SIN(RADIANS(J24))</f>
        <v/>
      </c>
      <c r="N24">
        <f>COS(RADIANS($B$4))*COS(RADIANS(J24))</f>
        <v/>
      </c>
      <c r="O24">
        <f>DEGREES(ATAN(1/(TAN(RADIANS(ABS($B$4-J24)))+$B$12)))</f>
        <v/>
      </c>
      <c r="P24" s="19">
        <f>Q24-10/1440</f>
        <v/>
      </c>
      <c r="Q24" s="19">
        <f>CEILING(($L24-DEGREES(ACOS((SIN(RADIANS($B$9))-$M24)/$N24))/15+$B$8/60)/24,1/1440)</f>
        <v/>
      </c>
      <c r="R24" s="19">
        <f>FLOOR(($L24-DEGREES(ACOS((SIN(RADIANS($B$13))-$M24)/$N24))/15-$B$8/60)/24,1/1440)</f>
        <v/>
      </c>
      <c r="S24" s="19">
        <f>CEILING(($L24-DEGREES(ACOS((SIN(RADIANS(4.5))-$M24)/$N24))/15+$B$8/60)/24,1/1440)</f>
        <v/>
      </c>
      <c r="T24" s="19">
        <f>CEILING(($L24+$B$8/60)/24,1/1440)</f>
        <v/>
      </c>
      <c r="U24" s="19">
        <f>CEILING(($L24+DEGREES(ACOS((SIN(RADIANS($O24))-$M24)/$N24))/15+$B$8/60)/24,1/1440)</f>
        <v/>
      </c>
      <c r="V24" s="19">
        <f>CEILING(($L24+DEGREES(ACOS((SIN(RADIANS($B$13))-$M24)/$N24))/15+$B$8/60)/24,1/1440)</f>
        <v/>
      </c>
      <c r="W24" s="19">
        <f>CEILING(($L24+DEGREES(ACOS((SIN(RADIANS($B$10))-$M24)/$N24))/15+$B$8/60)/24,1/1440)</f>
        <v/>
      </c>
    </row>
    <row r="25">
      <c r="A25" s="18">
        <f>$B$11+ROW()-16</f>
        <v/>
      </c>
      <c r="B25">
        <f>A25+(12-$B$6)/24+2415018.5</f>
        <v/>
      </c>
      <c r="C25">
        <f>(B25-2451545)/36525</f>
        <v/>
      </c>
      <c r="D25">
        <f>MOD(280.46646+36000.76983*C25+0.0003032*C25^2,360)</f>
        <v/>
      </c>
      <c r="E25">
        <f>357.52911+35999.05029*C25-0.0001537*C25^2</f>
        <v/>
      </c>
      <c r="F25">
        <f>0.016708634-0.000042037*C25</f>
        <v/>
      </c>
      <c r="G25">
        <f>SIN(RADIANS(E25))*(1.914602-0.004817*C25)+SIN(RADIANS(2*E25))*(0.019993-0.000101*C25)+0.000289*SIN(RADIANS(3*E25))</f>
        <v/>
      </c>
      <c r="H25">
        <f>D25+G25-0.00569-0.00478*SIN(RADIANS(125.04-1934.136*C25))</f>
        <v/>
      </c>
      <c r="I25">
        <f>23.4392911-0.0130042*C25+0.00256*COS(RADIANS(125.04-1934.136*C25))</f>
        <v/>
      </c>
      <c r="J25">
        <f>DEGREES(ASIN(SIN(RADIANS(I25))*SIN(RADIANS(H25))))</f>
        <v/>
      </c>
      <c r="K25">
        <f>4*DEGREES(TAN(RADIANS(I25/2))^2*SIN(2*RADIANS(D25))-2*F25*SIN(RADIANS(E25))+4*F25*TAN(RADIANS(I25/2))^2*SIN(RADIANS(E25))*COS(2*RADIANS(D25))-0.5*TAN(RADIANS(I25/2))^4*SIN(4*RADIANS(D25))-1.25*F25^2*SIN(2*RADIANS(E25)))</f>
        <v/>
      </c>
      <c r="L25">
        <f>12-K25/60+($B$6*15-$B$5)/15</f>
        <v/>
      </c>
      <c r="M25">
        <f>SIN(RADIANS($B$4))*SIN(RADIANS(J25))</f>
        <v/>
      </c>
      <c r="N25">
        <f>COS(RADIANS($B$4))*COS(RADIANS(J25))</f>
        <v/>
      </c>
      <c r="O25">
        <f>DEGREES(ATAN(1/(TAN(RADIANS(ABS($B$4-J25)))+$B$12)))</f>
        <v/>
      </c>
      <c r="P25" s="19">
        <f>Q25-10/1440</f>
        <v/>
      </c>
      <c r="Q25" s="19">
        <f>CEILING(($L25-DEGREES(ACOS((SIN(RADIANS($B$9))-$M25)/$N25))/15+$B$8/60)/24,1/1440)</f>
        <v/>
      </c>
      <c r="R25" s="19">
        <f>FLOOR(($L25-DEGREES(ACOS((SIN(RADIANS($B$13))-$M25)/$N25))/15-$B$8/60)/24,1/1440)</f>
        <v/>
      </c>
      <c r="S25" s="19">
        <f>CEILING(($L25-DEGREES(ACOS((SIN(RADIANS(4.5))-$M25)/$N25))/15+$B$8/60)/24,1/1440)</f>
        <v/>
      </c>
      <c r="T25" s="19">
        <f>CEILING(($L25+$B$8/60)/24,1/1440)</f>
        <v/>
      </c>
      <c r="U25" s="19">
        <f>CEILING(($L25+DEGREES(ACOS((SIN(RADIANS($O25))-$M25)/$N25))/15+$B$8/60)/24,1/1440)</f>
        <v/>
      </c>
      <c r="V25" s="19">
        <f>CEILING(($L25+DEGREES(ACOS((SIN(RADIANS($B$13))-$M25)/$N25))/15+$B$8/60)/24,1/1440)</f>
        <v/>
      </c>
      <c r="W25" s="19">
        <f>CEILING(($L25+DEGREES(ACOS((SIN(RADIANS($B$10))-$M25)/$N25))/15+$B$8/60)/24,1/1440)</f>
        <v/>
      </c>
    </row>
    <row r="26">
      <c r="A26" s="18">
        <f>$B$11+ROW()-16</f>
        <v/>
      </c>
      <c r="B26">
        <f>A26+(12-$B$6)/24+2415018.5</f>
        <v/>
      </c>
      <c r="C26">
        <f>(B26-2451545)/36525</f>
        <v/>
      </c>
      <c r="D26">
        <f>MOD(280.46646+36000.76983*C26+0.0003032*C26^2,360)</f>
        <v/>
      </c>
      <c r="E26">
        <f>357.52911+35999.05029*C26-0.0001537*C26^2</f>
        <v/>
      </c>
      <c r="F26">
        <f>0.016708634-0.000042037*C26</f>
        <v/>
      </c>
      <c r="G26">
        <f>SIN(RADIANS(E26))*(1.914602-0.004817*C26)+SIN(RADIANS(2*E26))*(0.019993-0.000101*C26)+0.000289*SIN(RADIANS(3*E26))</f>
        <v/>
      </c>
      <c r="H26">
        <f>D26+G26-0.00569-0.00478*SIN(RADIANS(125.04-1934.136*C26))</f>
        <v/>
      </c>
      <c r="I26">
        <f>23.4392911-0.0130042*C26+0.00256*COS(RADIANS(125.04-1934.136*C26))</f>
        <v/>
      </c>
      <c r="J26">
        <f>DEGREES(ASIN(SIN(RADIANS(I26))*SIN(RADIANS(H26))))</f>
        <v/>
      </c>
      <c r="K26">
        <f>4*DEGREES(TAN(RADIANS(I26/2))^2*SIN(2*RADIANS(D26))-2*F26*SIN(RADIANS(E26))+4*F26*TAN(RADIANS(I26/2))^2*SIN(RADIANS(E26))*COS(2*RADIANS(D26))-0.5*TAN(RADIANS(I26/2))^4*SIN(4*RADIANS(D26))-1.25*F26^2*SIN(2*RADIANS(E26)))</f>
        <v/>
      </c>
      <c r="L26">
        <f>12-K26/60+($B$6*15-$B$5)/15</f>
        <v/>
      </c>
      <c r="M26">
        <f>SIN(RADIANS($B$4))*SIN(RADIANS(J26))</f>
        <v/>
      </c>
      <c r="N26">
        <f>COS(RADIANS($B$4))*COS(RADIANS(J26))</f>
        <v/>
      </c>
      <c r="O26">
        <f>DEGREES(ATAN(1/(TAN(RADIANS(ABS($B$4-J26)))+$B$12)))</f>
        <v/>
      </c>
      <c r="P26" s="19">
        <f>Q26-10/1440</f>
        <v/>
      </c>
      <c r="Q26" s="19">
        <f>CEILING(($L26-DEGREES(ACOS((SIN(RADIANS($B$9))-$M26)/$N26))/15+$B$8/60)/24,1/1440)</f>
        <v/>
      </c>
      <c r="R26" s="19">
        <f>FLOOR(($L26-DEGREES(ACOS((SIN(RADIANS($B$13))-$M26)/$N26))/15-$B$8/60)/24,1/1440)</f>
        <v/>
      </c>
      <c r="S26" s="19">
        <f>CEILING(($L26-DEGREES(ACOS((SIN(RADIANS(4.5))-$M26)/$N26))/15+$B$8/60)/24,1/1440)</f>
        <v/>
      </c>
      <c r="T26" s="19">
        <f>CEILING(($L26+$B$8/60)/24,1/1440)</f>
        <v/>
      </c>
      <c r="U26" s="19">
        <f>CEILING(($L26+DEGREES(ACOS((SIN(RADIANS($O26))-$M26)/$N26))/15+$B$8/60)/24,1/1440)</f>
        <v/>
      </c>
      <c r="V26" s="19">
        <f>CEILING(($L26+DEGREES(ACOS((SIN(RADIANS($B$13))-$M26)/$N26))/15+$B$8/60)/24,1/1440)</f>
        <v/>
      </c>
      <c r="W26" s="19">
        <f>CEILING(($L26+DEGREES(ACOS((SIN(RADIANS($B$10))-$M26)/$N26))/15+$B$8/60)/24,1/1440)</f>
        <v/>
      </c>
    </row>
    <row r="27">
      <c r="A27" s="18">
        <f>$B$11+ROW()-16</f>
        <v/>
      </c>
      <c r="B27">
        <f>A27+(12-$B$6)/24+2415018.5</f>
        <v/>
      </c>
      <c r="C27">
        <f>(B27-2451545)/36525</f>
        <v/>
      </c>
      <c r="D27">
        <f>MOD(280.46646+36000.76983*C27+0.0003032*C27^2,360)</f>
        <v/>
      </c>
      <c r="E27">
        <f>357.52911+35999.05029*C27-0.0001537*C27^2</f>
        <v/>
      </c>
      <c r="F27">
        <f>0.016708634-0.000042037*C27</f>
        <v/>
      </c>
      <c r="G27">
        <f>SIN(RADIANS(E27))*(1.914602-0.004817*C27)+SIN(RADIANS(2*E27))*(0.019993-0.000101*C27)+0.000289*SIN(RADIANS(3*E27))</f>
        <v/>
      </c>
      <c r="H27">
        <f>D27+G27-0.00569-0.00478*SIN(RADIANS(125.04-1934.136*C27))</f>
        <v/>
      </c>
      <c r="I27">
        <f>23.4392911-0.0130042*C27+0.00256*COS(RADIANS(125.04-1934.136*C27))</f>
        <v/>
      </c>
      <c r="J27">
        <f>DEGREES(ASIN(SIN(RADIANS(I27))*SIN(RADIANS(H27))))</f>
        <v/>
      </c>
      <c r="K27">
        <f>4*DEGREES(TAN(RADIANS(I27/2))^2*SIN(2*RADIANS(D27))-2*F27*SIN(RADIANS(E27))+4*F27*TAN(RADIANS(I27/2))^2*SIN(RADIANS(E27))*COS(2*RADIANS(D27))-0.5*TAN(RADIANS(I27/2))^4*SIN(4*RADIANS(D27))-1.25*F27^2*SIN(2*RADIANS(E27)))</f>
        <v/>
      </c>
      <c r="L27">
        <f>12-K27/60+($B$6*15-$B$5)/15</f>
        <v/>
      </c>
      <c r="M27">
        <f>SIN(RADIANS($B$4))*SIN(RADIANS(J27))</f>
        <v/>
      </c>
      <c r="N27">
        <f>COS(RADIANS($B$4))*COS(RADIANS(J27))</f>
        <v/>
      </c>
      <c r="O27">
        <f>DEGREES(ATAN(1/(TAN(RADIANS(ABS($B$4-J27)))+$B$12)))</f>
        <v/>
      </c>
      <c r="P27" s="19">
        <f>Q27-10/1440</f>
        <v/>
      </c>
      <c r="Q27" s="19">
        <f>CEILING(($L27-DEGREES(ACOS((SIN(RADIANS($B$9))-$M27)/$N27))/15+$B$8/60)/24,1/1440)</f>
        <v/>
      </c>
      <c r="R27" s="19">
        <f>FLOOR(($L27-DEGREES(ACOS((SIN(RADIANS($B$13))-$M27)/$N27))/15-$B$8/60)/24,1/1440)</f>
        <v/>
      </c>
      <c r="S27" s="19">
        <f>CEILING(($L27-DEGREES(ACOS((SIN(RADIANS(4.5))-$M27)/$N27))/15+$B$8/60)/24,1/1440)</f>
        <v/>
      </c>
      <c r="T27" s="19">
        <f>CEILING(($L27+$B$8/60)/24,1/1440)</f>
        <v/>
      </c>
      <c r="U27" s="19">
        <f>CEILING(($L27+DEGREES(ACOS((SIN(RADIANS($O27))-$M27)/$N27))/15+$B$8/60)/24,1/1440)</f>
        <v/>
      </c>
      <c r="V27" s="19">
        <f>CEILING(($L27+DEGREES(ACOS((SIN(RADIANS($B$13))-$M27)/$N27))/15+$B$8/60)/24,1/1440)</f>
        <v/>
      </c>
      <c r="W27" s="19">
        <f>CEILING(($L27+DEGREES(ACOS((SIN(RADIANS($B$10))-$M27)/$N27))/15+$B$8/60)/24,1/1440)</f>
        <v/>
      </c>
    </row>
    <row r="28">
      <c r="A28" s="18">
        <f>$B$11+ROW()-16</f>
        <v/>
      </c>
      <c r="B28">
        <f>A28+(12-$B$6)/24+2415018.5</f>
        <v/>
      </c>
      <c r="C28">
        <f>(B28-2451545)/36525</f>
        <v/>
      </c>
      <c r="D28">
        <f>MOD(280.46646+36000.76983*C28+0.0003032*C28^2,360)</f>
        <v/>
      </c>
      <c r="E28">
        <f>357.52911+35999.05029*C28-0.0001537*C28^2</f>
        <v/>
      </c>
      <c r="F28">
        <f>0.016708634-0.000042037*C28</f>
        <v/>
      </c>
      <c r="G28">
        <f>SIN(RADIANS(E28))*(1.914602-0.004817*C28)+SIN(RADIANS(2*E28))*(0.019993-0.000101*C28)+0.000289*SIN(RADIANS(3*E28))</f>
        <v/>
      </c>
      <c r="H28">
        <f>D28+G28-0.00569-0.00478*SIN(RADIANS(125.04-1934.136*C28))</f>
        <v/>
      </c>
      <c r="I28">
        <f>23.4392911-0.0130042*C28+0.00256*COS(RADIANS(125.04-1934.136*C28))</f>
        <v/>
      </c>
      <c r="J28">
        <f>DEGREES(ASIN(SIN(RADIANS(I28))*SIN(RADIANS(H28))))</f>
        <v/>
      </c>
      <c r="K28">
        <f>4*DEGREES(TAN(RADIANS(I28/2))^2*SIN(2*RADIANS(D28))-2*F28*SIN(RADIANS(E28))+4*F28*TAN(RADIANS(I28/2))^2*SIN(RADIANS(E28))*COS(2*RADIANS(D28))-0.5*TAN(RADIANS(I28/2))^4*SIN(4*RADIANS(D28))-1.25*F28^2*SIN(2*RADIANS(E28)))</f>
        <v/>
      </c>
      <c r="L28">
        <f>12-K28/60+($B$6*15-$B$5)/15</f>
        <v/>
      </c>
      <c r="M28">
        <f>SIN(RADIANS($B$4))*SIN(RADIANS(J28))</f>
        <v/>
      </c>
      <c r="N28">
        <f>COS(RADIANS($B$4))*COS(RADIANS(J28))</f>
        <v/>
      </c>
      <c r="O28">
        <f>DEGREES(ATAN(1/(TAN(RADIANS(ABS($B$4-J28)))+$B$12)))</f>
        <v/>
      </c>
      <c r="P28" s="19">
        <f>Q28-10/1440</f>
        <v/>
      </c>
      <c r="Q28" s="19">
        <f>CEILING(($L28-DEGREES(ACOS((SIN(RADIANS($B$9))-$M28)/$N28))/15+$B$8/60)/24,1/1440)</f>
        <v/>
      </c>
      <c r="R28" s="19">
        <f>FLOOR(($L28-DEGREES(ACOS((SIN(RADIANS($B$13))-$M28)/$N28))/15-$B$8/60)/24,1/1440)</f>
        <v/>
      </c>
      <c r="S28" s="19">
        <f>CEILING(($L28-DEGREES(ACOS((SIN(RADIANS(4.5))-$M28)/$N28))/15+$B$8/60)/24,1/1440)</f>
        <v/>
      </c>
      <c r="T28" s="19">
        <f>CEILING(($L28+$B$8/60)/24,1/1440)</f>
        <v/>
      </c>
      <c r="U28" s="19">
        <f>CEILING(($L28+DEGREES(ACOS((SIN(RADIANS($O28))-$M28)/$N28))/15+$B$8/60)/24,1/1440)</f>
        <v/>
      </c>
      <c r="V28" s="19">
        <f>CEILING(($L28+DEGREES(ACOS((SIN(RADIANS($B$13))-$M28)/$N28))/15+$B$8/60)/24,1/1440)</f>
        <v/>
      </c>
      <c r="W28" s="19">
        <f>CEILING(($L28+DEGREES(ACOS((SIN(RADIANS($B$10))-$M28)/$N28))/15+$B$8/60)/24,1/1440)</f>
        <v/>
      </c>
    </row>
    <row r="29">
      <c r="A29" s="18">
        <f>$B$11+ROW()-16</f>
        <v/>
      </c>
      <c r="B29">
        <f>A29+(12-$B$6)/24+2415018.5</f>
        <v/>
      </c>
      <c r="C29">
        <f>(B29-2451545)/36525</f>
        <v/>
      </c>
      <c r="D29">
        <f>MOD(280.46646+36000.76983*C29+0.0003032*C29^2,360)</f>
        <v/>
      </c>
      <c r="E29">
        <f>357.52911+35999.05029*C29-0.0001537*C29^2</f>
        <v/>
      </c>
      <c r="F29">
        <f>0.016708634-0.000042037*C29</f>
        <v/>
      </c>
      <c r="G29">
        <f>SIN(RADIANS(E29))*(1.914602-0.004817*C29)+SIN(RADIANS(2*E29))*(0.019993-0.000101*C29)+0.000289*SIN(RADIANS(3*E29))</f>
        <v/>
      </c>
      <c r="H29">
        <f>D29+G29-0.00569-0.00478*SIN(RADIANS(125.04-1934.136*C29))</f>
        <v/>
      </c>
      <c r="I29">
        <f>23.4392911-0.0130042*C29+0.00256*COS(RADIANS(125.04-1934.136*C29))</f>
        <v/>
      </c>
      <c r="J29">
        <f>DEGREES(ASIN(SIN(RADIANS(I29))*SIN(RADIANS(H29))))</f>
        <v/>
      </c>
      <c r="K29">
        <f>4*DEGREES(TAN(RADIANS(I29/2))^2*SIN(2*RADIANS(D29))-2*F29*SIN(RADIANS(E29))+4*F29*TAN(RADIANS(I29/2))^2*SIN(RADIANS(E29))*COS(2*RADIANS(D29))-0.5*TAN(RADIANS(I29/2))^4*SIN(4*RADIANS(D29))-1.25*F29^2*SIN(2*RADIANS(E29)))</f>
        <v/>
      </c>
      <c r="L29">
        <f>12-K29/60+($B$6*15-$B$5)/15</f>
        <v/>
      </c>
      <c r="M29">
        <f>SIN(RADIANS($B$4))*SIN(RADIANS(J29))</f>
        <v/>
      </c>
      <c r="N29">
        <f>COS(RADIANS($B$4))*COS(RADIANS(J29))</f>
        <v/>
      </c>
      <c r="O29">
        <f>DEGREES(ATAN(1/(TAN(RADIANS(ABS($B$4-J29)))+$B$12)))</f>
        <v/>
      </c>
      <c r="P29" s="19">
        <f>Q29-10/1440</f>
        <v/>
      </c>
      <c r="Q29" s="19">
        <f>CEILING(($L29-DEGREES(ACOS((SIN(RADIANS($B$9))-$M29)/$N29))/15+$B$8/60)/24,1/1440)</f>
        <v/>
      </c>
      <c r="R29" s="19">
        <f>FLOOR(($L29-DEGREES(ACOS((SIN(RADIANS($B$13))-$M29)/$N29))/15-$B$8/60)/24,1/1440)</f>
        <v/>
      </c>
      <c r="S29" s="19">
        <f>CEILING(($L29-DEGREES(ACOS((SIN(RADIANS(4.5))-$M29)/$N29))/15+$B$8/60)/24,1/1440)</f>
        <v/>
      </c>
      <c r="T29" s="19">
        <f>CEILING(($L29+$B$8/60)/24,1/1440)</f>
        <v/>
      </c>
      <c r="U29" s="19">
        <f>CEILING(($L29+DEGREES(ACOS((SIN(RADIANS($O29))-$M29)/$N29))/15+$B$8/60)/24,1/1440)</f>
        <v/>
      </c>
      <c r="V29" s="19">
        <f>CEILING(($L29+DEGREES(ACOS((SIN(RADIANS($B$13))-$M29)/$N29))/15+$B$8/60)/24,1/1440)</f>
        <v/>
      </c>
      <c r="W29" s="19">
        <f>CEILING(($L29+DEGREES(ACOS((SIN(RADIANS($B$10))-$M29)/$N29))/15+$B$8/60)/24,1/1440)</f>
        <v/>
      </c>
    </row>
    <row r="30">
      <c r="A30" s="18">
        <f>$B$11+ROW()-16</f>
        <v/>
      </c>
      <c r="B30">
        <f>A30+(12-$B$6)/24+2415018.5</f>
        <v/>
      </c>
      <c r="C30">
        <f>(B30-2451545)/36525</f>
        <v/>
      </c>
      <c r="D30">
        <f>MOD(280.46646+36000.76983*C30+0.0003032*C30^2,360)</f>
        <v/>
      </c>
      <c r="E30">
        <f>357.52911+35999.05029*C30-0.0001537*C30^2</f>
        <v/>
      </c>
      <c r="F30">
        <f>0.016708634-0.000042037*C30</f>
        <v/>
      </c>
      <c r="G30">
        <f>SIN(RADIANS(E30))*(1.914602-0.004817*C30)+SIN(RADIANS(2*E30))*(0.019993-0.000101*C30)+0.000289*SIN(RADIANS(3*E30))</f>
        <v/>
      </c>
      <c r="H30">
        <f>D30+G30-0.00569-0.00478*SIN(RADIANS(125.04-1934.136*C30))</f>
        <v/>
      </c>
      <c r="I30">
        <f>23.4392911-0.0130042*C30+0.00256*COS(RADIANS(125.04-1934.136*C30))</f>
        <v/>
      </c>
      <c r="J30">
        <f>DEGREES(ASIN(SIN(RADIANS(I30))*SIN(RADIANS(H30))))</f>
        <v/>
      </c>
      <c r="K30">
        <f>4*DEGREES(TAN(RADIANS(I30/2))^2*SIN(2*RADIANS(D30))-2*F30*SIN(RADIANS(E30))+4*F30*TAN(RADIANS(I30/2))^2*SIN(RADIANS(E30))*COS(2*RADIANS(D30))-0.5*TAN(RADIANS(I30/2))^4*SIN(4*RADIANS(D30))-1.25*F30^2*SIN(2*RADIANS(E30)))</f>
        <v/>
      </c>
      <c r="L30">
        <f>12-K30/60+($B$6*15-$B$5)/15</f>
        <v/>
      </c>
      <c r="M30">
        <f>SIN(RADIANS($B$4))*SIN(RADIANS(J30))</f>
        <v/>
      </c>
      <c r="N30">
        <f>COS(RADIANS($B$4))*COS(RADIANS(J30))</f>
        <v/>
      </c>
      <c r="O30">
        <f>DEGREES(ATAN(1/(TAN(RADIANS(ABS($B$4-J30)))+$B$12)))</f>
        <v/>
      </c>
      <c r="P30" s="19">
        <f>Q30-10/1440</f>
        <v/>
      </c>
      <c r="Q30" s="19">
        <f>CEILING(($L30-DEGREES(ACOS((SIN(RADIANS($B$9))-$M30)/$N30))/15+$B$8/60)/24,1/1440)</f>
        <v/>
      </c>
      <c r="R30" s="19">
        <f>FLOOR(($L30-DEGREES(ACOS((SIN(RADIANS($B$13))-$M30)/$N30))/15-$B$8/60)/24,1/1440)</f>
        <v/>
      </c>
      <c r="S30" s="19">
        <f>CEILING(($L30-DEGREES(ACOS((SIN(RADIANS(4.5))-$M30)/$N30))/15+$B$8/60)/24,1/1440)</f>
        <v/>
      </c>
      <c r="T30" s="19">
        <f>CEILING(($L30+$B$8/60)/24,1/1440)</f>
        <v/>
      </c>
      <c r="U30" s="19">
        <f>CEILING(($L30+DEGREES(ACOS((SIN(RADIANS($O30))-$M30)/$N30))/15+$B$8/60)/24,1/1440)</f>
        <v/>
      </c>
      <c r="V30" s="19">
        <f>CEILING(($L30+DEGREES(ACOS((SIN(RADIANS($B$13))-$M30)/$N30))/15+$B$8/60)/24,1/1440)</f>
        <v/>
      </c>
      <c r="W30" s="19">
        <f>CEILING(($L30+DEGREES(ACOS((SIN(RADIANS($B$10))-$M30)/$N30))/15+$B$8/60)/24,1/1440)</f>
        <v/>
      </c>
    </row>
    <row r="31">
      <c r="A31" s="18">
        <f>$B$11+ROW()-16</f>
        <v/>
      </c>
      <c r="B31">
        <f>A31+(12-$B$6)/24+2415018.5</f>
        <v/>
      </c>
      <c r="C31">
        <f>(B31-2451545)/36525</f>
        <v/>
      </c>
      <c r="D31">
        <f>MOD(280.46646+36000.76983*C31+0.0003032*C31^2,360)</f>
        <v/>
      </c>
      <c r="E31">
        <f>357.52911+35999.05029*C31-0.0001537*C31^2</f>
        <v/>
      </c>
      <c r="F31">
        <f>0.016708634-0.000042037*C31</f>
        <v/>
      </c>
      <c r="G31">
        <f>SIN(RADIANS(E31))*(1.914602-0.004817*C31)+SIN(RADIANS(2*E31))*(0.019993-0.000101*C31)+0.000289*SIN(RADIANS(3*E31))</f>
        <v/>
      </c>
      <c r="H31">
        <f>D31+G31-0.00569-0.00478*SIN(RADIANS(125.04-1934.136*C31))</f>
        <v/>
      </c>
      <c r="I31">
        <f>23.4392911-0.0130042*C31+0.00256*COS(RADIANS(125.04-1934.136*C31))</f>
        <v/>
      </c>
      <c r="J31">
        <f>DEGREES(ASIN(SIN(RADIANS(I31))*SIN(RADIANS(H31))))</f>
        <v/>
      </c>
      <c r="K31">
        <f>4*DEGREES(TAN(RADIANS(I31/2))^2*SIN(2*RADIANS(D31))-2*F31*SIN(RADIANS(E31))+4*F31*TAN(RADIANS(I31/2))^2*SIN(RADIANS(E31))*COS(2*RADIANS(D31))-0.5*TAN(RADIANS(I31/2))^4*SIN(4*RADIANS(D31))-1.25*F31^2*SIN(2*RADIANS(E31)))</f>
        <v/>
      </c>
      <c r="L31">
        <f>12-K31/60+($B$6*15-$B$5)/15</f>
        <v/>
      </c>
      <c r="M31">
        <f>SIN(RADIANS($B$4))*SIN(RADIANS(J31))</f>
        <v/>
      </c>
      <c r="N31">
        <f>COS(RADIANS($B$4))*COS(RADIANS(J31))</f>
        <v/>
      </c>
      <c r="O31">
        <f>DEGREES(ATAN(1/(TAN(RADIANS(ABS($B$4-J31)))+$B$12)))</f>
        <v/>
      </c>
      <c r="P31" s="19">
        <f>Q31-10/1440</f>
        <v/>
      </c>
      <c r="Q31" s="19">
        <f>CEILING(($L31-DEGREES(ACOS((SIN(RADIANS($B$9))-$M31)/$N31))/15+$B$8/60)/24,1/1440)</f>
        <v/>
      </c>
      <c r="R31" s="19">
        <f>FLOOR(($L31-DEGREES(ACOS((SIN(RADIANS($B$13))-$M31)/$N31))/15-$B$8/60)/24,1/1440)</f>
        <v/>
      </c>
      <c r="S31" s="19">
        <f>CEILING(($L31-DEGREES(ACOS((SIN(RADIANS(4.5))-$M31)/$N31))/15+$B$8/60)/24,1/1440)</f>
        <v/>
      </c>
      <c r="T31" s="19">
        <f>CEILING(($L31+$B$8/60)/24,1/1440)</f>
        <v/>
      </c>
      <c r="U31" s="19">
        <f>CEILING(($L31+DEGREES(ACOS((SIN(RADIANS($O31))-$M31)/$N31))/15+$B$8/60)/24,1/1440)</f>
        <v/>
      </c>
      <c r="V31" s="19">
        <f>CEILING(($L31+DEGREES(ACOS((SIN(RADIANS($B$13))-$M31)/$N31))/15+$B$8/60)/24,1/1440)</f>
        <v/>
      </c>
      <c r="W31" s="19">
        <f>CEILING(($L31+DEGREES(ACOS((SIN(RADIANS($B$10))-$M31)/$N31))/15+$B$8/60)/24,1/1440)</f>
        <v/>
      </c>
    </row>
    <row r="32">
      <c r="A32" s="18">
        <f>$B$11+ROW()-16</f>
        <v/>
      </c>
      <c r="B32">
        <f>A32+(12-$B$6)/24+2415018.5</f>
        <v/>
      </c>
      <c r="C32">
        <f>(B32-2451545)/36525</f>
        <v/>
      </c>
      <c r="D32">
        <f>MOD(280.46646+36000.76983*C32+0.0003032*C32^2,360)</f>
        <v/>
      </c>
      <c r="E32">
        <f>357.52911+35999.05029*C32-0.0001537*C32^2</f>
        <v/>
      </c>
      <c r="F32">
        <f>0.016708634-0.000042037*C32</f>
        <v/>
      </c>
      <c r="G32">
        <f>SIN(RADIANS(E32))*(1.914602-0.004817*C32)+SIN(RADIANS(2*E32))*(0.019993-0.000101*C32)+0.000289*SIN(RADIANS(3*E32))</f>
        <v/>
      </c>
      <c r="H32">
        <f>D32+G32-0.00569-0.00478*SIN(RADIANS(125.04-1934.136*C32))</f>
        <v/>
      </c>
      <c r="I32">
        <f>23.4392911-0.0130042*C32+0.00256*COS(RADIANS(125.04-1934.136*C32))</f>
        <v/>
      </c>
      <c r="J32">
        <f>DEGREES(ASIN(SIN(RADIANS(I32))*SIN(RADIANS(H32))))</f>
        <v/>
      </c>
      <c r="K32">
        <f>4*DEGREES(TAN(RADIANS(I32/2))^2*SIN(2*RADIANS(D32))-2*F32*SIN(RADIANS(E32))+4*F32*TAN(RADIANS(I32/2))^2*SIN(RADIANS(E32))*COS(2*RADIANS(D32))-0.5*TAN(RADIANS(I32/2))^4*SIN(4*RADIANS(D32))-1.25*F32^2*SIN(2*RADIANS(E32)))</f>
        <v/>
      </c>
      <c r="L32">
        <f>12-K32/60+($B$6*15-$B$5)/15</f>
        <v/>
      </c>
      <c r="M32">
        <f>SIN(RADIANS($B$4))*SIN(RADIANS(J32))</f>
        <v/>
      </c>
      <c r="N32">
        <f>COS(RADIANS($B$4))*COS(RADIANS(J32))</f>
        <v/>
      </c>
      <c r="O32">
        <f>DEGREES(ATAN(1/(TAN(RADIANS(ABS($B$4-J32)))+$B$12)))</f>
        <v/>
      </c>
      <c r="P32" s="19">
        <f>Q32-10/1440</f>
        <v/>
      </c>
      <c r="Q32" s="19">
        <f>CEILING(($L32-DEGREES(ACOS((SIN(RADIANS($B$9))-$M32)/$N32))/15+$B$8/60)/24,1/1440)</f>
        <v/>
      </c>
      <c r="R32" s="19">
        <f>FLOOR(($L32-DEGREES(ACOS((SIN(RADIANS($B$13))-$M32)/$N32))/15-$B$8/60)/24,1/1440)</f>
        <v/>
      </c>
      <c r="S32" s="19">
        <f>CEILING(($L32-DEGREES(ACOS((SIN(RADIANS(4.5))-$M32)/$N32))/15+$B$8/60)/24,1/1440)</f>
        <v/>
      </c>
      <c r="T32" s="19">
        <f>CEILING(($L32+$B$8/60)/24,1/1440)</f>
        <v/>
      </c>
      <c r="U32" s="19">
        <f>CEILING(($L32+DEGREES(ACOS((SIN(RADIANS($O32))-$M32)/$N32))/15+$B$8/60)/24,1/1440)</f>
        <v/>
      </c>
      <c r="V32" s="19">
        <f>CEILING(($L32+DEGREES(ACOS((SIN(RADIANS($B$13))-$M32)/$N32))/15+$B$8/60)/24,1/1440)</f>
        <v/>
      </c>
      <c r="W32" s="19">
        <f>CEILING(($L32+DEGREES(ACOS((SIN(RADIANS($B$10))-$M32)/$N32))/15+$B$8/60)/24,1/1440)</f>
        <v/>
      </c>
    </row>
    <row r="33">
      <c r="A33" s="18">
        <f>$B$11+ROW()-16</f>
        <v/>
      </c>
      <c r="B33">
        <f>A33+(12-$B$6)/24+2415018.5</f>
        <v/>
      </c>
      <c r="C33">
        <f>(B33-2451545)/36525</f>
        <v/>
      </c>
      <c r="D33">
        <f>MOD(280.46646+36000.76983*C33+0.0003032*C33^2,360)</f>
        <v/>
      </c>
      <c r="E33">
        <f>357.52911+35999.05029*C33-0.0001537*C33^2</f>
        <v/>
      </c>
      <c r="F33">
        <f>0.016708634-0.000042037*C33</f>
        <v/>
      </c>
      <c r="G33">
        <f>SIN(RADIANS(E33))*(1.914602-0.004817*C33)+SIN(RADIANS(2*E33))*(0.019993-0.000101*C33)+0.000289*SIN(RADIANS(3*E33))</f>
        <v/>
      </c>
      <c r="H33">
        <f>D33+G33-0.00569-0.00478*SIN(RADIANS(125.04-1934.136*C33))</f>
        <v/>
      </c>
      <c r="I33">
        <f>23.4392911-0.0130042*C33+0.00256*COS(RADIANS(125.04-1934.136*C33))</f>
        <v/>
      </c>
      <c r="J33">
        <f>DEGREES(ASIN(SIN(RADIANS(I33))*SIN(RADIANS(H33))))</f>
        <v/>
      </c>
      <c r="K33">
        <f>4*DEGREES(TAN(RADIANS(I33/2))^2*SIN(2*RADIANS(D33))-2*F33*SIN(RADIANS(E33))+4*F33*TAN(RADIANS(I33/2))^2*SIN(RADIANS(E33))*COS(2*RADIANS(D33))-0.5*TAN(RADIANS(I33/2))^4*SIN(4*RADIANS(D33))-1.25*F33^2*SIN(2*RADIANS(E33)))</f>
        <v/>
      </c>
      <c r="L33">
        <f>12-K33/60+($B$6*15-$B$5)/15</f>
        <v/>
      </c>
      <c r="M33">
        <f>SIN(RADIANS($B$4))*SIN(RADIANS(J33))</f>
        <v/>
      </c>
      <c r="N33">
        <f>COS(RADIANS($B$4))*COS(RADIANS(J33))</f>
        <v/>
      </c>
      <c r="O33">
        <f>DEGREES(ATAN(1/(TAN(RADIANS(ABS($B$4-J33)))+$B$12)))</f>
        <v/>
      </c>
      <c r="P33" s="19">
        <f>Q33-10/1440</f>
        <v/>
      </c>
      <c r="Q33" s="19">
        <f>CEILING(($L33-DEGREES(ACOS((SIN(RADIANS($B$9))-$M33)/$N33))/15+$B$8/60)/24,1/1440)</f>
        <v/>
      </c>
      <c r="R33" s="19">
        <f>FLOOR(($L33-DEGREES(ACOS((SIN(RADIANS($B$13))-$M33)/$N33))/15-$B$8/60)/24,1/1440)</f>
        <v/>
      </c>
      <c r="S33" s="19">
        <f>CEILING(($L33-DEGREES(ACOS((SIN(RADIANS(4.5))-$M33)/$N33))/15+$B$8/60)/24,1/1440)</f>
        <v/>
      </c>
      <c r="T33" s="19">
        <f>CEILING(($L33+$B$8/60)/24,1/1440)</f>
        <v/>
      </c>
      <c r="U33" s="19">
        <f>CEILING(($L33+DEGREES(ACOS((SIN(RADIANS($O33))-$M33)/$N33))/15+$B$8/60)/24,1/1440)</f>
        <v/>
      </c>
      <c r="V33" s="19">
        <f>CEILING(($L33+DEGREES(ACOS((SIN(RADIANS($B$13))-$M33)/$N33))/15+$B$8/60)/24,1/1440)</f>
        <v/>
      </c>
      <c r="W33" s="19">
        <f>CEILING(($L33+DEGREES(ACOS((SIN(RADIANS($B$10))-$M33)/$N33))/15+$B$8/60)/24,1/1440)</f>
        <v/>
      </c>
    </row>
    <row r="34">
      <c r="A34" s="18">
        <f>$B$11+ROW()-16</f>
        <v/>
      </c>
      <c r="B34">
        <f>A34+(12-$B$6)/24+2415018.5</f>
        <v/>
      </c>
      <c r="C34">
        <f>(B34-2451545)/36525</f>
        <v/>
      </c>
      <c r="D34">
        <f>MOD(280.46646+36000.76983*C34+0.0003032*C34^2,360)</f>
        <v/>
      </c>
      <c r="E34">
        <f>357.52911+35999.05029*C34-0.0001537*C34^2</f>
        <v/>
      </c>
      <c r="F34">
        <f>0.016708634-0.000042037*C34</f>
        <v/>
      </c>
      <c r="G34">
        <f>SIN(RADIANS(E34))*(1.914602-0.004817*C34)+SIN(RADIANS(2*E34))*(0.019993-0.000101*C34)+0.000289*SIN(RADIANS(3*E34))</f>
        <v/>
      </c>
      <c r="H34">
        <f>D34+G34-0.00569-0.00478*SIN(RADIANS(125.04-1934.136*C34))</f>
        <v/>
      </c>
      <c r="I34">
        <f>23.4392911-0.0130042*C34+0.00256*COS(RADIANS(125.04-1934.136*C34))</f>
        <v/>
      </c>
      <c r="J34">
        <f>DEGREES(ASIN(SIN(RADIANS(I34))*SIN(RADIANS(H34))))</f>
        <v/>
      </c>
      <c r="K34">
        <f>4*DEGREES(TAN(RADIANS(I34/2))^2*SIN(2*RADIANS(D34))-2*F34*SIN(RADIANS(E34))+4*F34*TAN(RADIANS(I34/2))^2*SIN(RADIANS(E34))*COS(2*RADIANS(D34))-0.5*TAN(RADIANS(I34/2))^4*SIN(4*RADIANS(D34))-1.25*F34^2*SIN(2*RADIANS(E34)))</f>
        <v/>
      </c>
      <c r="L34">
        <f>12-K34/60+($B$6*15-$B$5)/15</f>
        <v/>
      </c>
      <c r="M34">
        <f>SIN(RADIANS($B$4))*SIN(RADIANS(J34))</f>
        <v/>
      </c>
      <c r="N34">
        <f>COS(RADIANS($B$4))*COS(RADIANS(J34))</f>
        <v/>
      </c>
      <c r="O34">
        <f>DEGREES(ATAN(1/(TAN(RADIANS(ABS($B$4-J34)))+$B$12)))</f>
        <v/>
      </c>
      <c r="P34" s="19">
        <f>Q34-10/1440</f>
        <v/>
      </c>
      <c r="Q34" s="19">
        <f>CEILING(($L34-DEGREES(ACOS((SIN(RADIANS($B$9))-$M34)/$N34))/15+$B$8/60)/24,1/1440)</f>
        <v/>
      </c>
      <c r="R34" s="19">
        <f>FLOOR(($L34-DEGREES(ACOS((SIN(RADIANS($B$13))-$M34)/$N34))/15-$B$8/60)/24,1/1440)</f>
        <v/>
      </c>
      <c r="S34" s="19">
        <f>CEILING(($L34-DEGREES(ACOS((SIN(RADIANS(4.5))-$M34)/$N34))/15+$B$8/60)/24,1/1440)</f>
        <v/>
      </c>
      <c r="T34" s="19">
        <f>CEILING(($L34+$B$8/60)/24,1/1440)</f>
        <v/>
      </c>
      <c r="U34" s="19">
        <f>CEILING(($L34+DEGREES(ACOS((SIN(RADIANS($O34))-$M34)/$N34))/15+$B$8/60)/24,1/1440)</f>
        <v/>
      </c>
      <c r="V34" s="19">
        <f>CEILING(($L34+DEGREES(ACOS((SIN(RADIANS($B$13))-$M34)/$N34))/15+$B$8/60)/24,1/1440)</f>
        <v/>
      </c>
      <c r="W34" s="19">
        <f>CEILING(($L34+DEGREES(ACOS((SIN(RADIANS($B$10))-$M34)/$N34))/15+$B$8/60)/24,1/1440)</f>
        <v/>
      </c>
    </row>
    <row r="35">
      <c r="A35" s="18">
        <f>$B$11+ROW()-16</f>
        <v/>
      </c>
      <c r="B35">
        <f>A35+(12-$B$6)/24+2415018.5</f>
        <v/>
      </c>
      <c r="C35">
        <f>(B35-2451545)/36525</f>
        <v/>
      </c>
      <c r="D35">
        <f>MOD(280.46646+36000.76983*C35+0.0003032*C35^2,360)</f>
        <v/>
      </c>
      <c r="E35">
        <f>357.52911+35999.05029*C35-0.0001537*C35^2</f>
        <v/>
      </c>
      <c r="F35">
        <f>0.016708634-0.000042037*C35</f>
        <v/>
      </c>
      <c r="G35">
        <f>SIN(RADIANS(E35))*(1.914602-0.004817*C35)+SIN(RADIANS(2*E35))*(0.019993-0.000101*C35)+0.000289*SIN(RADIANS(3*E35))</f>
        <v/>
      </c>
      <c r="H35">
        <f>D35+G35-0.00569-0.00478*SIN(RADIANS(125.04-1934.136*C35))</f>
        <v/>
      </c>
      <c r="I35">
        <f>23.4392911-0.0130042*C35+0.00256*COS(RADIANS(125.04-1934.136*C35))</f>
        <v/>
      </c>
      <c r="J35">
        <f>DEGREES(ASIN(SIN(RADIANS(I35))*SIN(RADIANS(H35))))</f>
        <v/>
      </c>
      <c r="K35">
        <f>4*DEGREES(TAN(RADIANS(I35/2))^2*SIN(2*RADIANS(D35))-2*F35*SIN(RADIANS(E35))+4*F35*TAN(RADIANS(I35/2))^2*SIN(RADIANS(E35))*COS(2*RADIANS(D35))-0.5*TAN(RADIANS(I35/2))^4*SIN(4*RADIANS(D35))-1.25*F35^2*SIN(2*RADIANS(E35)))</f>
        <v/>
      </c>
      <c r="L35">
        <f>12-K35/60+($B$6*15-$B$5)/15</f>
        <v/>
      </c>
      <c r="M35">
        <f>SIN(RADIANS($B$4))*SIN(RADIANS(J35))</f>
        <v/>
      </c>
      <c r="N35">
        <f>COS(RADIANS($B$4))*COS(RADIANS(J35))</f>
        <v/>
      </c>
      <c r="O35">
        <f>DEGREES(ATAN(1/(TAN(RADIANS(ABS($B$4-J35)))+$B$12)))</f>
        <v/>
      </c>
      <c r="P35" s="19">
        <f>Q35-10/1440</f>
        <v/>
      </c>
      <c r="Q35" s="19">
        <f>CEILING(($L35-DEGREES(ACOS((SIN(RADIANS($B$9))-$M35)/$N35))/15+$B$8/60)/24,1/1440)</f>
        <v/>
      </c>
      <c r="R35" s="19">
        <f>FLOOR(($L35-DEGREES(ACOS((SIN(RADIANS($B$13))-$M35)/$N35))/15-$B$8/60)/24,1/1440)</f>
        <v/>
      </c>
      <c r="S35" s="19">
        <f>CEILING(($L35-DEGREES(ACOS((SIN(RADIANS(4.5))-$M35)/$N35))/15+$B$8/60)/24,1/1440)</f>
        <v/>
      </c>
      <c r="T35" s="19">
        <f>CEILING(($L35+$B$8/60)/24,1/1440)</f>
        <v/>
      </c>
      <c r="U35" s="19">
        <f>CEILING(($L35+DEGREES(ACOS((SIN(RADIANS($O35))-$M35)/$N35))/15+$B$8/60)/24,1/1440)</f>
        <v/>
      </c>
      <c r="V35" s="19">
        <f>CEILING(($L35+DEGREES(ACOS((SIN(RADIANS($B$13))-$M35)/$N35))/15+$B$8/60)/24,1/1440)</f>
        <v/>
      </c>
      <c r="W35" s="19">
        <f>CEILING(($L35+DEGREES(ACOS((SIN(RADIANS($B$10))-$M35)/$N35))/15+$B$8/60)/24,1/1440)</f>
        <v/>
      </c>
    </row>
    <row r="36">
      <c r="A36" s="18">
        <f>$B$11+ROW()-16</f>
        <v/>
      </c>
      <c r="B36">
        <f>A36+(12-$B$6)/24+2415018.5</f>
        <v/>
      </c>
      <c r="C36">
        <f>(B36-2451545)/36525</f>
        <v/>
      </c>
      <c r="D36">
        <f>MOD(280.46646+36000.76983*C36+0.0003032*C36^2,360)</f>
        <v/>
      </c>
      <c r="E36">
        <f>357.52911+35999.05029*C36-0.0001537*C36^2</f>
        <v/>
      </c>
      <c r="F36">
        <f>0.016708634-0.000042037*C36</f>
        <v/>
      </c>
      <c r="G36">
        <f>SIN(RADIANS(E36))*(1.914602-0.004817*C36)+SIN(RADIANS(2*E36))*(0.019993-0.000101*C36)+0.000289*SIN(RADIANS(3*E36))</f>
        <v/>
      </c>
      <c r="H36">
        <f>D36+G36-0.00569-0.00478*SIN(RADIANS(125.04-1934.136*C36))</f>
        <v/>
      </c>
      <c r="I36">
        <f>23.4392911-0.0130042*C36+0.00256*COS(RADIANS(125.04-1934.136*C36))</f>
        <v/>
      </c>
      <c r="J36">
        <f>DEGREES(ASIN(SIN(RADIANS(I36))*SIN(RADIANS(H36))))</f>
        <v/>
      </c>
      <c r="K36">
        <f>4*DEGREES(TAN(RADIANS(I36/2))^2*SIN(2*RADIANS(D36))-2*F36*SIN(RADIANS(E36))+4*F36*TAN(RADIANS(I36/2))^2*SIN(RADIANS(E36))*COS(2*RADIANS(D36))-0.5*TAN(RADIANS(I36/2))^4*SIN(4*RADIANS(D36))-1.25*F36^2*SIN(2*RADIANS(E36)))</f>
        <v/>
      </c>
      <c r="L36">
        <f>12-K36/60+($B$6*15-$B$5)/15</f>
        <v/>
      </c>
      <c r="M36">
        <f>SIN(RADIANS($B$4))*SIN(RADIANS(J36))</f>
        <v/>
      </c>
      <c r="N36">
        <f>COS(RADIANS($B$4))*COS(RADIANS(J36))</f>
        <v/>
      </c>
      <c r="O36">
        <f>DEGREES(ATAN(1/(TAN(RADIANS(ABS($B$4-J36)))+$B$12)))</f>
        <v/>
      </c>
      <c r="P36" s="19">
        <f>Q36-10/1440</f>
        <v/>
      </c>
      <c r="Q36" s="19">
        <f>CEILING(($L36-DEGREES(ACOS((SIN(RADIANS($B$9))-$M36)/$N36))/15+$B$8/60)/24,1/1440)</f>
        <v/>
      </c>
      <c r="R36" s="19">
        <f>FLOOR(($L36-DEGREES(ACOS((SIN(RADIANS($B$13))-$M36)/$N36))/15-$B$8/60)/24,1/1440)</f>
        <v/>
      </c>
      <c r="S36" s="19">
        <f>CEILING(($L36-DEGREES(ACOS((SIN(RADIANS(4.5))-$M36)/$N36))/15+$B$8/60)/24,1/1440)</f>
        <v/>
      </c>
      <c r="T36" s="19">
        <f>CEILING(($L36+$B$8/60)/24,1/1440)</f>
        <v/>
      </c>
      <c r="U36" s="19">
        <f>CEILING(($L36+DEGREES(ACOS((SIN(RADIANS($O36))-$M36)/$N36))/15+$B$8/60)/24,1/1440)</f>
        <v/>
      </c>
      <c r="V36" s="19">
        <f>CEILING(($L36+DEGREES(ACOS((SIN(RADIANS($B$13))-$M36)/$N36))/15+$B$8/60)/24,1/1440)</f>
        <v/>
      </c>
      <c r="W36" s="19">
        <f>CEILING(($L36+DEGREES(ACOS((SIN(RADIANS($B$10))-$M36)/$N36))/15+$B$8/60)/24,1/1440)</f>
        <v/>
      </c>
    </row>
    <row r="37">
      <c r="A37" s="18">
        <f>$B$11+ROW()-16</f>
        <v/>
      </c>
      <c r="B37">
        <f>A37+(12-$B$6)/24+2415018.5</f>
        <v/>
      </c>
      <c r="C37">
        <f>(B37-2451545)/36525</f>
        <v/>
      </c>
      <c r="D37">
        <f>MOD(280.46646+36000.76983*C37+0.0003032*C37^2,360)</f>
        <v/>
      </c>
      <c r="E37">
        <f>357.52911+35999.05029*C37-0.0001537*C37^2</f>
        <v/>
      </c>
      <c r="F37">
        <f>0.016708634-0.000042037*C37</f>
        <v/>
      </c>
      <c r="G37">
        <f>SIN(RADIANS(E37))*(1.914602-0.004817*C37)+SIN(RADIANS(2*E37))*(0.019993-0.000101*C37)+0.000289*SIN(RADIANS(3*E37))</f>
        <v/>
      </c>
      <c r="H37">
        <f>D37+G37-0.00569-0.00478*SIN(RADIANS(125.04-1934.136*C37))</f>
        <v/>
      </c>
      <c r="I37">
        <f>23.4392911-0.0130042*C37+0.00256*COS(RADIANS(125.04-1934.136*C37))</f>
        <v/>
      </c>
      <c r="J37">
        <f>DEGREES(ASIN(SIN(RADIANS(I37))*SIN(RADIANS(H37))))</f>
        <v/>
      </c>
      <c r="K37">
        <f>4*DEGREES(TAN(RADIANS(I37/2))^2*SIN(2*RADIANS(D37))-2*F37*SIN(RADIANS(E37))+4*F37*TAN(RADIANS(I37/2))^2*SIN(RADIANS(E37))*COS(2*RADIANS(D37))-0.5*TAN(RADIANS(I37/2))^4*SIN(4*RADIANS(D37))-1.25*F37^2*SIN(2*RADIANS(E37)))</f>
        <v/>
      </c>
      <c r="L37">
        <f>12-K37/60+($B$6*15-$B$5)/15</f>
        <v/>
      </c>
      <c r="M37">
        <f>SIN(RADIANS($B$4))*SIN(RADIANS(J37))</f>
        <v/>
      </c>
      <c r="N37">
        <f>COS(RADIANS($B$4))*COS(RADIANS(J37))</f>
        <v/>
      </c>
      <c r="O37">
        <f>DEGREES(ATAN(1/(TAN(RADIANS(ABS($B$4-J37)))+$B$12)))</f>
        <v/>
      </c>
      <c r="P37" s="19">
        <f>Q37-10/1440</f>
        <v/>
      </c>
      <c r="Q37" s="19">
        <f>CEILING(($L37-DEGREES(ACOS((SIN(RADIANS($B$9))-$M37)/$N37))/15+$B$8/60)/24,1/1440)</f>
        <v/>
      </c>
      <c r="R37" s="19">
        <f>FLOOR(($L37-DEGREES(ACOS((SIN(RADIANS($B$13))-$M37)/$N37))/15-$B$8/60)/24,1/1440)</f>
        <v/>
      </c>
      <c r="S37" s="19">
        <f>CEILING(($L37-DEGREES(ACOS((SIN(RADIANS(4.5))-$M37)/$N37))/15+$B$8/60)/24,1/1440)</f>
        <v/>
      </c>
      <c r="T37" s="19">
        <f>CEILING(($L37+$B$8/60)/24,1/1440)</f>
        <v/>
      </c>
      <c r="U37" s="19">
        <f>CEILING(($L37+DEGREES(ACOS((SIN(RADIANS($O37))-$M37)/$N37))/15+$B$8/60)/24,1/1440)</f>
        <v/>
      </c>
      <c r="V37" s="19">
        <f>CEILING(($L37+DEGREES(ACOS((SIN(RADIANS($B$13))-$M37)/$N37))/15+$B$8/60)/24,1/1440)</f>
        <v/>
      </c>
      <c r="W37" s="19">
        <f>CEILING(($L37+DEGREES(ACOS((SIN(RADIANS($B$10))-$M37)/$N37))/15+$B$8/60)/24,1/1440)</f>
        <v/>
      </c>
    </row>
    <row r="38">
      <c r="A38" s="18">
        <f>$B$11+ROW()-16</f>
        <v/>
      </c>
      <c r="B38">
        <f>A38+(12-$B$6)/24+2415018.5</f>
        <v/>
      </c>
      <c r="C38">
        <f>(B38-2451545)/36525</f>
        <v/>
      </c>
      <c r="D38">
        <f>MOD(280.46646+36000.76983*C38+0.0003032*C38^2,360)</f>
        <v/>
      </c>
      <c r="E38">
        <f>357.52911+35999.05029*C38-0.0001537*C38^2</f>
        <v/>
      </c>
      <c r="F38">
        <f>0.016708634-0.000042037*C38</f>
        <v/>
      </c>
      <c r="G38">
        <f>SIN(RADIANS(E38))*(1.914602-0.004817*C38)+SIN(RADIANS(2*E38))*(0.019993-0.000101*C38)+0.000289*SIN(RADIANS(3*E38))</f>
        <v/>
      </c>
      <c r="H38">
        <f>D38+G38-0.00569-0.00478*SIN(RADIANS(125.04-1934.136*C38))</f>
        <v/>
      </c>
      <c r="I38">
        <f>23.4392911-0.0130042*C38+0.00256*COS(RADIANS(125.04-1934.136*C38))</f>
        <v/>
      </c>
      <c r="J38">
        <f>DEGREES(ASIN(SIN(RADIANS(I38))*SIN(RADIANS(H38))))</f>
        <v/>
      </c>
      <c r="K38">
        <f>4*DEGREES(TAN(RADIANS(I38/2))^2*SIN(2*RADIANS(D38))-2*F38*SIN(RADIANS(E38))+4*F38*TAN(RADIANS(I38/2))^2*SIN(RADIANS(E38))*COS(2*RADIANS(D38))-0.5*TAN(RADIANS(I38/2))^4*SIN(4*RADIANS(D38))-1.25*F38^2*SIN(2*RADIANS(E38)))</f>
        <v/>
      </c>
      <c r="L38">
        <f>12-K38/60+($B$6*15-$B$5)/15</f>
        <v/>
      </c>
      <c r="M38">
        <f>SIN(RADIANS($B$4))*SIN(RADIANS(J38))</f>
        <v/>
      </c>
      <c r="N38">
        <f>COS(RADIANS($B$4))*COS(RADIANS(J38))</f>
        <v/>
      </c>
      <c r="O38">
        <f>DEGREES(ATAN(1/(TAN(RADIANS(ABS($B$4-J38)))+$B$12)))</f>
        <v/>
      </c>
      <c r="P38" s="19">
        <f>Q38-10/1440</f>
        <v/>
      </c>
      <c r="Q38" s="19">
        <f>CEILING(($L38-DEGREES(ACOS((SIN(RADIANS($B$9))-$M38)/$N38))/15+$B$8/60)/24,1/1440)</f>
        <v/>
      </c>
      <c r="R38" s="19">
        <f>FLOOR(($L38-DEGREES(ACOS((SIN(RADIANS($B$13))-$M38)/$N38))/15-$B$8/60)/24,1/1440)</f>
        <v/>
      </c>
      <c r="S38" s="19">
        <f>CEILING(($L38-DEGREES(ACOS((SIN(RADIANS(4.5))-$M38)/$N38))/15+$B$8/60)/24,1/1440)</f>
        <v/>
      </c>
      <c r="T38" s="19">
        <f>CEILING(($L38+$B$8/60)/24,1/1440)</f>
        <v/>
      </c>
      <c r="U38" s="19">
        <f>CEILING(($L38+DEGREES(ACOS((SIN(RADIANS($O38))-$M38)/$N38))/15+$B$8/60)/24,1/1440)</f>
        <v/>
      </c>
      <c r="V38" s="19">
        <f>CEILING(($L38+DEGREES(ACOS((SIN(RADIANS($B$13))-$M38)/$N38))/15+$B$8/60)/24,1/1440)</f>
        <v/>
      </c>
      <c r="W38" s="19">
        <f>CEILING(($L38+DEGREES(ACOS((SIN(RADIANS($B$10))-$M38)/$N38))/15+$B$8/60)/24,1/1440)</f>
        <v/>
      </c>
    </row>
    <row r="39">
      <c r="A39" s="18">
        <f>$B$11+ROW()-16</f>
        <v/>
      </c>
      <c r="B39">
        <f>A39+(12-$B$6)/24+2415018.5</f>
        <v/>
      </c>
      <c r="C39">
        <f>(B39-2451545)/36525</f>
        <v/>
      </c>
      <c r="D39">
        <f>MOD(280.46646+36000.76983*C39+0.0003032*C39^2,360)</f>
        <v/>
      </c>
      <c r="E39">
        <f>357.52911+35999.05029*C39-0.0001537*C39^2</f>
        <v/>
      </c>
      <c r="F39">
        <f>0.016708634-0.000042037*C39</f>
        <v/>
      </c>
      <c r="G39">
        <f>SIN(RADIANS(E39))*(1.914602-0.004817*C39)+SIN(RADIANS(2*E39))*(0.019993-0.000101*C39)+0.000289*SIN(RADIANS(3*E39))</f>
        <v/>
      </c>
      <c r="H39">
        <f>D39+G39-0.00569-0.00478*SIN(RADIANS(125.04-1934.136*C39))</f>
        <v/>
      </c>
      <c r="I39">
        <f>23.4392911-0.0130042*C39+0.00256*COS(RADIANS(125.04-1934.136*C39))</f>
        <v/>
      </c>
      <c r="J39">
        <f>DEGREES(ASIN(SIN(RADIANS(I39))*SIN(RADIANS(H39))))</f>
        <v/>
      </c>
      <c r="K39">
        <f>4*DEGREES(TAN(RADIANS(I39/2))^2*SIN(2*RADIANS(D39))-2*F39*SIN(RADIANS(E39))+4*F39*TAN(RADIANS(I39/2))^2*SIN(RADIANS(E39))*COS(2*RADIANS(D39))-0.5*TAN(RADIANS(I39/2))^4*SIN(4*RADIANS(D39))-1.25*F39^2*SIN(2*RADIANS(E39)))</f>
        <v/>
      </c>
      <c r="L39">
        <f>12-K39/60+($B$6*15-$B$5)/15</f>
        <v/>
      </c>
      <c r="M39">
        <f>SIN(RADIANS($B$4))*SIN(RADIANS(J39))</f>
        <v/>
      </c>
      <c r="N39">
        <f>COS(RADIANS($B$4))*COS(RADIANS(J39))</f>
        <v/>
      </c>
      <c r="O39">
        <f>DEGREES(ATAN(1/(TAN(RADIANS(ABS($B$4-J39)))+$B$12)))</f>
        <v/>
      </c>
      <c r="P39" s="19">
        <f>Q39-10/1440</f>
        <v/>
      </c>
      <c r="Q39" s="19">
        <f>CEILING(($L39-DEGREES(ACOS((SIN(RADIANS($B$9))-$M39)/$N39))/15+$B$8/60)/24,1/1440)</f>
        <v/>
      </c>
      <c r="R39" s="19">
        <f>FLOOR(($L39-DEGREES(ACOS((SIN(RADIANS($B$13))-$M39)/$N39))/15-$B$8/60)/24,1/1440)</f>
        <v/>
      </c>
      <c r="S39" s="19">
        <f>CEILING(($L39-DEGREES(ACOS((SIN(RADIANS(4.5))-$M39)/$N39))/15+$B$8/60)/24,1/1440)</f>
        <v/>
      </c>
      <c r="T39" s="19">
        <f>CEILING(($L39+$B$8/60)/24,1/1440)</f>
        <v/>
      </c>
      <c r="U39" s="19">
        <f>CEILING(($L39+DEGREES(ACOS((SIN(RADIANS($O39))-$M39)/$N39))/15+$B$8/60)/24,1/1440)</f>
        <v/>
      </c>
      <c r="V39" s="19">
        <f>CEILING(($L39+DEGREES(ACOS((SIN(RADIANS($B$13))-$M39)/$N39))/15+$B$8/60)/24,1/1440)</f>
        <v/>
      </c>
      <c r="W39" s="19">
        <f>CEILING(($L39+DEGREES(ACOS((SIN(RADIANS($B$10))-$M39)/$N39))/15+$B$8/60)/24,1/1440)</f>
        <v/>
      </c>
    </row>
    <row r="40">
      <c r="A40" s="18">
        <f>$B$11+ROW()-16</f>
        <v/>
      </c>
      <c r="B40">
        <f>A40+(12-$B$6)/24+2415018.5</f>
        <v/>
      </c>
      <c r="C40">
        <f>(B40-2451545)/36525</f>
        <v/>
      </c>
      <c r="D40">
        <f>MOD(280.46646+36000.76983*C40+0.0003032*C40^2,360)</f>
        <v/>
      </c>
      <c r="E40">
        <f>357.52911+35999.05029*C40-0.0001537*C40^2</f>
        <v/>
      </c>
      <c r="F40">
        <f>0.016708634-0.000042037*C40</f>
        <v/>
      </c>
      <c r="G40">
        <f>SIN(RADIANS(E40))*(1.914602-0.004817*C40)+SIN(RADIANS(2*E40))*(0.019993-0.000101*C40)+0.000289*SIN(RADIANS(3*E40))</f>
        <v/>
      </c>
      <c r="H40">
        <f>D40+G40-0.00569-0.00478*SIN(RADIANS(125.04-1934.136*C40))</f>
        <v/>
      </c>
      <c r="I40">
        <f>23.4392911-0.0130042*C40+0.00256*COS(RADIANS(125.04-1934.136*C40))</f>
        <v/>
      </c>
      <c r="J40">
        <f>DEGREES(ASIN(SIN(RADIANS(I40))*SIN(RADIANS(H40))))</f>
        <v/>
      </c>
      <c r="K40">
        <f>4*DEGREES(TAN(RADIANS(I40/2))^2*SIN(2*RADIANS(D40))-2*F40*SIN(RADIANS(E40))+4*F40*TAN(RADIANS(I40/2))^2*SIN(RADIANS(E40))*COS(2*RADIANS(D40))-0.5*TAN(RADIANS(I40/2))^4*SIN(4*RADIANS(D40))-1.25*F40^2*SIN(2*RADIANS(E40)))</f>
        <v/>
      </c>
      <c r="L40">
        <f>12-K40/60+($B$6*15-$B$5)/15</f>
        <v/>
      </c>
      <c r="M40">
        <f>SIN(RADIANS($B$4))*SIN(RADIANS(J40))</f>
        <v/>
      </c>
      <c r="N40">
        <f>COS(RADIANS($B$4))*COS(RADIANS(J40))</f>
        <v/>
      </c>
      <c r="O40">
        <f>DEGREES(ATAN(1/(TAN(RADIANS(ABS($B$4-J40)))+$B$12)))</f>
        <v/>
      </c>
      <c r="P40" s="19">
        <f>Q40-10/1440</f>
        <v/>
      </c>
      <c r="Q40" s="19">
        <f>CEILING(($L40-DEGREES(ACOS((SIN(RADIANS($B$9))-$M40)/$N40))/15+$B$8/60)/24,1/1440)</f>
        <v/>
      </c>
      <c r="R40" s="19">
        <f>FLOOR(($L40-DEGREES(ACOS((SIN(RADIANS($B$13))-$M40)/$N40))/15-$B$8/60)/24,1/1440)</f>
        <v/>
      </c>
      <c r="S40" s="19">
        <f>CEILING(($L40-DEGREES(ACOS((SIN(RADIANS(4.5))-$M40)/$N40))/15+$B$8/60)/24,1/1440)</f>
        <v/>
      </c>
      <c r="T40" s="19">
        <f>CEILING(($L40+$B$8/60)/24,1/1440)</f>
        <v/>
      </c>
      <c r="U40" s="19">
        <f>CEILING(($L40+DEGREES(ACOS((SIN(RADIANS($O40))-$M40)/$N40))/15+$B$8/60)/24,1/1440)</f>
        <v/>
      </c>
      <c r="V40" s="19">
        <f>CEILING(($L40+DEGREES(ACOS((SIN(RADIANS($B$13))-$M40)/$N40))/15+$B$8/60)/24,1/1440)</f>
        <v/>
      </c>
      <c r="W40" s="19">
        <f>CEILING(($L40+DEGREES(ACOS((SIN(RADIANS($B$10))-$M40)/$N40))/15+$B$8/60)/24,1/1440)</f>
        <v/>
      </c>
    </row>
    <row r="41">
      <c r="A41" s="18">
        <f>$B$11+ROW()-16</f>
        <v/>
      </c>
      <c r="B41">
        <f>A41+(12-$B$6)/24+2415018.5</f>
        <v/>
      </c>
      <c r="C41">
        <f>(B41-2451545)/36525</f>
        <v/>
      </c>
      <c r="D41">
        <f>MOD(280.46646+36000.76983*C41+0.0003032*C41^2,360)</f>
        <v/>
      </c>
      <c r="E41">
        <f>357.52911+35999.05029*C41-0.0001537*C41^2</f>
        <v/>
      </c>
      <c r="F41">
        <f>0.016708634-0.000042037*C41</f>
        <v/>
      </c>
      <c r="G41">
        <f>SIN(RADIANS(E41))*(1.914602-0.004817*C41)+SIN(RADIANS(2*E41))*(0.019993-0.000101*C41)+0.000289*SIN(RADIANS(3*E41))</f>
        <v/>
      </c>
      <c r="H41">
        <f>D41+G41-0.00569-0.00478*SIN(RADIANS(125.04-1934.136*C41))</f>
        <v/>
      </c>
      <c r="I41">
        <f>23.4392911-0.0130042*C41+0.00256*COS(RADIANS(125.04-1934.136*C41))</f>
        <v/>
      </c>
      <c r="J41">
        <f>DEGREES(ASIN(SIN(RADIANS(I41))*SIN(RADIANS(H41))))</f>
        <v/>
      </c>
      <c r="K41">
        <f>4*DEGREES(TAN(RADIANS(I41/2))^2*SIN(2*RADIANS(D41))-2*F41*SIN(RADIANS(E41))+4*F41*TAN(RADIANS(I41/2))^2*SIN(RADIANS(E41))*COS(2*RADIANS(D41))-0.5*TAN(RADIANS(I41/2))^4*SIN(4*RADIANS(D41))-1.25*F41^2*SIN(2*RADIANS(E41)))</f>
        <v/>
      </c>
      <c r="L41">
        <f>12-K41/60+($B$6*15-$B$5)/15</f>
        <v/>
      </c>
      <c r="M41">
        <f>SIN(RADIANS($B$4))*SIN(RADIANS(J41))</f>
        <v/>
      </c>
      <c r="N41">
        <f>COS(RADIANS($B$4))*COS(RADIANS(J41))</f>
        <v/>
      </c>
      <c r="O41">
        <f>DEGREES(ATAN(1/(TAN(RADIANS(ABS($B$4-J41)))+$B$12)))</f>
        <v/>
      </c>
      <c r="P41" s="19">
        <f>Q41-10/1440</f>
        <v/>
      </c>
      <c r="Q41" s="19">
        <f>CEILING(($L41-DEGREES(ACOS((SIN(RADIANS($B$9))-$M41)/$N41))/15+$B$8/60)/24,1/1440)</f>
        <v/>
      </c>
      <c r="R41" s="19">
        <f>FLOOR(($L41-DEGREES(ACOS((SIN(RADIANS($B$13))-$M41)/$N41))/15-$B$8/60)/24,1/1440)</f>
        <v/>
      </c>
      <c r="S41" s="19">
        <f>CEILING(($L41-DEGREES(ACOS((SIN(RADIANS(4.5))-$M41)/$N41))/15+$B$8/60)/24,1/1440)</f>
        <v/>
      </c>
      <c r="T41" s="19">
        <f>CEILING(($L41+$B$8/60)/24,1/1440)</f>
        <v/>
      </c>
      <c r="U41" s="19">
        <f>CEILING(($L41+DEGREES(ACOS((SIN(RADIANS($O41))-$M41)/$N41))/15+$B$8/60)/24,1/1440)</f>
        <v/>
      </c>
      <c r="V41" s="19">
        <f>CEILING(($L41+DEGREES(ACOS((SIN(RADIANS($B$13))-$M41)/$N41))/15+$B$8/60)/24,1/1440)</f>
        <v/>
      </c>
      <c r="W41" s="19">
        <f>CEILING(($L41+DEGREES(ACOS((SIN(RADIANS($B$10))-$M41)/$N41))/15+$B$8/60)/24,1/1440)</f>
        <v/>
      </c>
    </row>
    <row r="42">
      <c r="A42" s="18">
        <f>$B$11+ROW()-16</f>
        <v/>
      </c>
      <c r="B42">
        <f>A42+(12-$B$6)/24+2415018.5</f>
        <v/>
      </c>
      <c r="C42">
        <f>(B42-2451545)/36525</f>
        <v/>
      </c>
      <c r="D42">
        <f>MOD(280.46646+36000.76983*C42+0.0003032*C42^2,360)</f>
        <v/>
      </c>
      <c r="E42">
        <f>357.52911+35999.05029*C42-0.0001537*C42^2</f>
        <v/>
      </c>
      <c r="F42">
        <f>0.016708634-0.000042037*C42</f>
        <v/>
      </c>
      <c r="G42">
        <f>SIN(RADIANS(E42))*(1.914602-0.004817*C42)+SIN(RADIANS(2*E42))*(0.019993-0.000101*C42)+0.000289*SIN(RADIANS(3*E42))</f>
        <v/>
      </c>
      <c r="H42">
        <f>D42+G42-0.00569-0.00478*SIN(RADIANS(125.04-1934.136*C42))</f>
        <v/>
      </c>
      <c r="I42">
        <f>23.4392911-0.0130042*C42+0.00256*COS(RADIANS(125.04-1934.136*C42))</f>
        <v/>
      </c>
      <c r="J42">
        <f>DEGREES(ASIN(SIN(RADIANS(I42))*SIN(RADIANS(H42))))</f>
        <v/>
      </c>
      <c r="K42">
        <f>4*DEGREES(TAN(RADIANS(I42/2))^2*SIN(2*RADIANS(D42))-2*F42*SIN(RADIANS(E42))+4*F42*TAN(RADIANS(I42/2))^2*SIN(RADIANS(E42))*COS(2*RADIANS(D42))-0.5*TAN(RADIANS(I42/2))^4*SIN(4*RADIANS(D42))-1.25*F42^2*SIN(2*RADIANS(E42)))</f>
        <v/>
      </c>
      <c r="L42">
        <f>12-K42/60+($B$6*15-$B$5)/15</f>
        <v/>
      </c>
      <c r="M42">
        <f>SIN(RADIANS($B$4))*SIN(RADIANS(J42))</f>
        <v/>
      </c>
      <c r="N42">
        <f>COS(RADIANS($B$4))*COS(RADIANS(J42))</f>
        <v/>
      </c>
      <c r="O42">
        <f>DEGREES(ATAN(1/(TAN(RADIANS(ABS($B$4-J42)))+$B$12)))</f>
        <v/>
      </c>
      <c r="P42" s="19">
        <f>Q42-10/1440</f>
        <v/>
      </c>
      <c r="Q42" s="19">
        <f>CEILING(($L42-DEGREES(ACOS((SIN(RADIANS($B$9))-$M42)/$N42))/15+$B$8/60)/24,1/1440)</f>
        <v/>
      </c>
      <c r="R42" s="19">
        <f>FLOOR(($L42-DEGREES(ACOS((SIN(RADIANS($B$13))-$M42)/$N42))/15-$B$8/60)/24,1/1440)</f>
        <v/>
      </c>
      <c r="S42" s="19">
        <f>CEILING(($L42-DEGREES(ACOS((SIN(RADIANS(4.5))-$M42)/$N42))/15+$B$8/60)/24,1/1440)</f>
        <v/>
      </c>
      <c r="T42" s="19">
        <f>CEILING(($L42+$B$8/60)/24,1/1440)</f>
        <v/>
      </c>
      <c r="U42" s="19">
        <f>CEILING(($L42+DEGREES(ACOS((SIN(RADIANS($O42))-$M42)/$N42))/15+$B$8/60)/24,1/1440)</f>
        <v/>
      </c>
      <c r="V42" s="19">
        <f>CEILING(($L42+DEGREES(ACOS((SIN(RADIANS($B$13))-$M42)/$N42))/15+$B$8/60)/24,1/1440)</f>
        <v/>
      </c>
      <c r="W42" s="19">
        <f>CEILING(($L42+DEGREES(ACOS((SIN(RADIANS($B$10))-$M42)/$N42))/15+$B$8/60)/24,1/1440)</f>
        <v/>
      </c>
    </row>
    <row r="43">
      <c r="A43" s="18">
        <f>$B$11+ROW()-16</f>
        <v/>
      </c>
      <c r="B43">
        <f>A43+(12-$B$6)/24+2415018.5</f>
        <v/>
      </c>
      <c r="C43">
        <f>(B43-2451545)/36525</f>
        <v/>
      </c>
      <c r="D43">
        <f>MOD(280.46646+36000.76983*C43+0.0003032*C43^2,360)</f>
        <v/>
      </c>
      <c r="E43">
        <f>357.52911+35999.05029*C43-0.0001537*C43^2</f>
        <v/>
      </c>
      <c r="F43">
        <f>0.016708634-0.000042037*C43</f>
        <v/>
      </c>
      <c r="G43">
        <f>SIN(RADIANS(E43))*(1.914602-0.004817*C43)+SIN(RADIANS(2*E43))*(0.019993-0.000101*C43)+0.000289*SIN(RADIANS(3*E43))</f>
        <v/>
      </c>
      <c r="H43">
        <f>D43+G43-0.00569-0.00478*SIN(RADIANS(125.04-1934.136*C43))</f>
        <v/>
      </c>
      <c r="I43">
        <f>23.4392911-0.0130042*C43+0.00256*COS(RADIANS(125.04-1934.136*C43))</f>
        <v/>
      </c>
      <c r="J43">
        <f>DEGREES(ASIN(SIN(RADIANS(I43))*SIN(RADIANS(H43))))</f>
        <v/>
      </c>
      <c r="K43">
        <f>4*DEGREES(TAN(RADIANS(I43/2))^2*SIN(2*RADIANS(D43))-2*F43*SIN(RADIANS(E43))+4*F43*TAN(RADIANS(I43/2))^2*SIN(RADIANS(E43))*COS(2*RADIANS(D43))-0.5*TAN(RADIANS(I43/2))^4*SIN(4*RADIANS(D43))-1.25*F43^2*SIN(2*RADIANS(E43)))</f>
        <v/>
      </c>
      <c r="L43">
        <f>12-K43/60+($B$6*15-$B$5)/15</f>
        <v/>
      </c>
      <c r="M43">
        <f>SIN(RADIANS($B$4))*SIN(RADIANS(J43))</f>
        <v/>
      </c>
      <c r="N43">
        <f>COS(RADIANS($B$4))*COS(RADIANS(J43))</f>
        <v/>
      </c>
      <c r="O43">
        <f>DEGREES(ATAN(1/(TAN(RADIANS(ABS($B$4-J43)))+$B$12)))</f>
        <v/>
      </c>
      <c r="P43" s="19">
        <f>Q43-10/1440</f>
        <v/>
      </c>
      <c r="Q43" s="19">
        <f>CEILING(($L43-DEGREES(ACOS((SIN(RADIANS($B$9))-$M43)/$N43))/15+$B$8/60)/24,1/1440)</f>
        <v/>
      </c>
      <c r="R43" s="19">
        <f>FLOOR(($L43-DEGREES(ACOS((SIN(RADIANS($B$13))-$M43)/$N43))/15-$B$8/60)/24,1/1440)</f>
        <v/>
      </c>
      <c r="S43" s="19">
        <f>CEILING(($L43-DEGREES(ACOS((SIN(RADIANS(4.5))-$M43)/$N43))/15+$B$8/60)/24,1/1440)</f>
        <v/>
      </c>
      <c r="T43" s="19">
        <f>CEILING(($L43+$B$8/60)/24,1/1440)</f>
        <v/>
      </c>
      <c r="U43" s="19">
        <f>CEILING(($L43+DEGREES(ACOS((SIN(RADIANS($O43))-$M43)/$N43))/15+$B$8/60)/24,1/1440)</f>
        <v/>
      </c>
      <c r="V43" s="19">
        <f>CEILING(($L43+DEGREES(ACOS((SIN(RADIANS($B$13))-$M43)/$N43))/15+$B$8/60)/24,1/1440)</f>
        <v/>
      </c>
      <c r="W43" s="19">
        <f>CEILING(($L43+DEGREES(ACOS((SIN(RADIANS($B$10))-$M43)/$N43))/15+$B$8/60)/24,1/1440)</f>
        <v/>
      </c>
    </row>
    <row r="44">
      <c r="A44" s="18">
        <f>$B$11+ROW()-16</f>
        <v/>
      </c>
      <c r="B44">
        <f>A44+(12-$B$6)/24+2415018.5</f>
        <v/>
      </c>
      <c r="C44">
        <f>(B44-2451545)/36525</f>
        <v/>
      </c>
      <c r="D44">
        <f>MOD(280.46646+36000.76983*C44+0.0003032*C44^2,360)</f>
        <v/>
      </c>
      <c r="E44">
        <f>357.52911+35999.05029*C44-0.0001537*C44^2</f>
        <v/>
      </c>
      <c r="F44">
        <f>0.016708634-0.000042037*C44</f>
        <v/>
      </c>
      <c r="G44">
        <f>SIN(RADIANS(E44))*(1.914602-0.004817*C44)+SIN(RADIANS(2*E44))*(0.019993-0.000101*C44)+0.000289*SIN(RADIANS(3*E44))</f>
        <v/>
      </c>
      <c r="H44">
        <f>D44+G44-0.00569-0.00478*SIN(RADIANS(125.04-1934.136*C44))</f>
        <v/>
      </c>
      <c r="I44">
        <f>23.4392911-0.0130042*C44+0.00256*COS(RADIANS(125.04-1934.136*C44))</f>
        <v/>
      </c>
      <c r="J44">
        <f>DEGREES(ASIN(SIN(RADIANS(I44))*SIN(RADIANS(H44))))</f>
        <v/>
      </c>
      <c r="K44">
        <f>4*DEGREES(TAN(RADIANS(I44/2))^2*SIN(2*RADIANS(D44))-2*F44*SIN(RADIANS(E44))+4*F44*TAN(RADIANS(I44/2))^2*SIN(RADIANS(E44))*COS(2*RADIANS(D44))-0.5*TAN(RADIANS(I44/2))^4*SIN(4*RADIANS(D44))-1.25*F44^2*SIN(2*RADIANS(E44)))</f>
        <v/>
      </c>
      <c r="L44">
        <f>12-K44/60+($B$6*15-$B$5)/15</f>
        <v/>
      </c>
      <c r="M44">
        <f>SIN(RADIANS($B$4))*SIN(RADIANS(J44))</f>
        <v/>
      </c>
      <c r="N44">
        <f>COS(RADIANS($B$4))*COS(RADIANS(J44))</f>
        <v/>
      </c>
      <c r="O44">
        <f>DEGREES(ATAN(1/(TAN(RADIANS(ABS($B$4-J44)))+$B$12)))</f>
        <v/>
      </c>
      <c r="P44" s="19">
        <f>Q44-10/1440</f>
        <v/>
      </c>
      <c r="Q44" s="19">
        <f>CEILING(($L44-DEGREES(ACOS((SIN(RADIANS($B$9))-$M44)/$N44))/15+$B$8/60)/24,1/1440)</f>
        <v/>
      </c>
      <c r="R44" s="19">
        <f>FLOOR(($L44-DEGREES(ACOS((SIN(RADIANS($B$13))-$M44)/$N44))/15-$B$8/60)/24,1/1440)</f>
        <v/>
      </c>
      <c r="S44" s="19">
        <f>CEILING(($L44-DEGREES(ACOS((SIN(RADIANS(4.5))-$M44)/$N44))/15+$B$8/60)/24,1/1440)</f>
        <v/>
      </c>
      <c r="T44" s="19">
        <f>CEILING(($L44+$B$8/60)/24,1/1440)</f>
        <v/>
      </c>
      <c r="U44" s="19">
        <f>CEILING(($L44+DEGREES(ACOS((SIN(RADIANS($O44))-$M44)/$N44))/15+$B$8/60)/24,1/1440)</f>
        <v/>
      </c>
      <c r="V44" s="19">
        <f>CEILING(($L44+DEGREES(ACOS((SIN(RADIANS($B$13))-$M44)/$N44))/15+$B$8/60)/24,1/1440)</f>
        <v/>
      </c>
      <c r="W44" s="19">
        <f>CEILING(($L44+DEGREES(ACOS((SIN(RADIANS($B$10))-$M44)/$N44))/15+$B$8/60)/24,1/1440)</f>
        <v/>
      </c>
    </row>
    <row r="45">
      <c r="A45" s="18">
        <f>$B$11+ROW()-16</f>
        <v/>
      </c>
      <c r="B45">
        <f>A45+(12-$B$6)/24+2415018.5</f>
        <v/>
      </c>
      <c r="C45">
        <f>(B45-2451545)/36525</f>
        <v/>
      </c>
      <c r="D45">
        <f>MOD(280.46646+36000.76983*C45+0.0003032*C45^2,360)</f>
        <v/>
      </c>
      <c r="E45">
        <f>357.52911+35999.05029*C45-0.0001537*C45^2</f>
        <v/>
      </c>
      <c r="F45">
        <f>0.016708634-0.000042037*C45</f>
        <v/>
      </c>
      <c r="G45">
        <f>SIN(RADIANS(E45))*(1.914602-0.004817*C45)+SIN(RADIANS(2*E45))*(0.019993-0.000101*C45)+0.000289*SIN(RADIANS(3*E45))</f>
        <v/>
      </c>
      <c r="H45">
        <f>D45+G45-0.00569-0.00478*SIN(RADIANS(125.04-1934.136*C45))</f>
        <v/>
      </c>
      <c r="I45">
        <f>23.4392911-0.0130042*C45+0.00256*COS(RADIANS(125.04-1934.136*C45))</f>
        <v/>
      </c>
      <c r="J45">
        <f>DEGREES(ASIN(SIN(RADIANS(I45))*SIN(RADIANS(H45))))</f>
        <v/>
      </c>
      <c r="K45">
        <f>4*DEGREES(TAN(RADIANS(I45/2))^2*SIN(2*RADIANS(D45))-2*F45*SIN(RADIANS(E45))+4*F45*TAN(RADIANS(I45/2))^2*SIN(RADIANS(E45))*COS(2*RADIANS(D45))-0.5*TAN(RADIANS(I45/2))^4*SIN(4*RADIANS(D45))-1.25*F45^2*SIN(2*RADIANS(E45)))</f>
        <v/>
      </c>
      <c r="L45">
        <f>12-K45/60+($B$6*15-$B$5)/15</f>
        <v/>
      </c>
      <c r="M45">
        <f>SIN(RADIANS($B$4))*SIN(RADIANS(J45))</f>
        <v/>
      </c>
      <c r="N45">
        <f>COS(RADIANS($B$4))*COS(RADIANS(J45))</f>
        <v/>
      </c>
      <c r="O45">
        <f>DEGREES(ATAN(1/(TAN(RADIANS(ABS($B$4-J45)))+$B$12)))</f>
        <v/>
      </c>
      <c r="P45" s="19">
        <f>Q45-10/1440</f>
        <v/>
      </c>
      <c r="Q45" s="19">
        <f>CEILING(($L45-DEGREES(ACOS((SIN(RADIANS($B$9))-$M45)/$N45))/15+$B$8/60)/24,1/1440)</f>
        <v/>
      </c>
      <c r="R45" s="19">
        <f>FLOOR(($L45-DEGREES(ACOS((SIN(RADIANS($B$13))-$M45)/$N45))/15-$B$8/60)/24,1/1440)</f>
        <v/>
      </c>
      <c r="S45" s="19">
        <f>CEILING(($L45-DEGREES(ACOS((SIN(RADIANS(4.5))-$M45)/$N45))/15+$B$8/60)/24,1/1440)</f>
        <v/>
      </c>
      <c r="T45" s="19">
        <f>CEILING(($L45+$B$8/60)/24,1/1440)</f>
        <v/>
      </c>
      <c r="U45" s="19">
        <f>CEILING(($L45+DEGREES(ACOS((SIN(RADIANS($O45))-$M45)/$N45))/15+$B$8/60)/24,1/1440)</f>
        <v/>
      </c>
      <c r="V45" s="19">
        <f>CEILING(($L45+DEGREES(ACOS((SIN(RADIANS($B$13))-$M45)/$N45))/15+$B$8/60)/24,1/1440)</f>
        <v/>
      </c>
      <c r="W45" s="19">
        <f>CEILING(($L45+DEGREES(ACOS((SIN(RADIANS($B$10))-$M45)/$N45))/15+$B$8/60)/24,1/1440)</f>
        <v/>
      </c>
    </row>
    <row r="46">
      <c r="A46" s="18">
        <f>$B$11+ROW()-16</f>
        <v/>
      </c>
      <c r="B46">
        <f>A46+(12-$B$6)/24+2415018.5</f>
        <v/>
      </c>
      <c r="C46">
        <f>(B46-2451545)/36525</f>
        <v/>
      </c>
      <c r="D46">
        <f>MOD(280.46646+36000.76983*C46+0.0003032*C46^2,360)</f>
        <v/>
      </c>
      <c r="E46">
        <f>357.52911+35999.05029*C46-0.0001537*C46^2</f>
        <v/>
      </c>
      <c r="F46">
        <f>0.016708634-0.000042037*C46</f>
        <v/>
      </c>
      <c r="G46">
        <f>SIN(RADIANS(E46))*(1.914602-0.004817*C46)+SIN(RADIANS(2*E46))*(0.019993-0.000101*C46)+0.000289*SIN(RADIANS(3*E46))</f>
        <v/>
      </c>
      <c r="H46">
        <f>D46+G46-0.00569-0.00478*SIN(RADIANS(125.04-1934.136*C46))</f>
        <v/>
      </c>
      <c r="I46">
        <f>23.4392911-0.0130042*C46+0.00256*COS(RADIANS(125.04-1934.136*C46))</f>
        <v/>
      </c>
      <c r="J46">
        <f>DEGREES(ASIN(SIN(RADIANS(I46))*SIN(RADIANS(H46))))</f>
        <v/>
      </c>
      <c r="K46">
        <f>4*DEGREES(TAN(RADIANS(I46/2))^2*SIN(2*RADIANS(D46))-2*F46*SIN(RADIANS(E46))+4*F46*TAN(RADIANS(I46/2))^2*SIN(RADIANS(E46))*COS(2*RADIANS(D46))-0.5*TAN(RADIANS(I46/2))^4*SIN(4*RADIANS(D46))-1.25*F46^2*SIN(2*RADIANS(E46)))</f>
        <v/>
      </c>
      <c r="L46">
        <f>12-K46/60+($B$6*15-$B$5)/15</f>
        <v/>
      </c>
      <c r="M46">
        <f>SIN(RADIANS($B$4))*SIN(RADIANS(J46))</f>
        <v/>
      </c>
      <c r="N46">
        <f>COS(RADIANS($B$4))*COS(RADIANS(J46))</f>
        <v/>
      </c>
      <c r="O46">
        <f>DEGREES(ATAN(1/(TAN(RADIANS(ABS($B$4-J46)))+$B$12)))</f>
        <v/>
      </c>
      <c r="P46" s="19">
        <f>Q46-10/1440</f>
        <v/>
      </c>
      <c r="Q46" s="19">
        <f>CEILING(($L46-DEGREES(ACOS((SIN(RADIANS($B$9))-$M46)/$N46))/15+$B$8/60)/24,1/1440)</f>
        <v/>
      </c>
      <c r="R46" s="19">
        <f>FLOOR(($L46-DEGREES(ACOS((SIN(RADIANS($B$13))-$M46)/$N46))/15-$B$8/60)/24,1/1440)</f>
        <v/>
      </c>
      <c r="S46" s="19">
        <f>CEILING(($L46-DEGREES(ACOS((SIN(RADIANS(4.5))-$M46)/$N46))/15+$B$8/60)/24,1/1440)</f>
        <v/>
      </c>
      <c r="T46" s="19">
        <f>CEILING(($L46+$B$8/60)/24,1/1440)</f>
        <v/>
      </c>
      <c r="U46" s="19">
        <f>CEILING(($L46+DEGREES(ACOS((SIN(RADIANS($O46))-$M46)/$N46))/15+$B$8/60)/24,1/1440)</f>
        <v/>
      </c>
      <c r="V46" s="19">
        <f>CEILING(($L46+DEGREES(ACOS((SIN(RADIANS($B$13))-$M46)/$N46))/15+$B$8/60)/24,1/1440)</f>
        <v/>
      </c>
      <c r="W46" s="19">
        <f>CEILING(($L46+DEGREES(ACOS((SIN(RADIANS($B$10))-$M46)/$N46))/15+$B$8/60)/24,1/1440)</f>
        <v/>
      </c>
    </row>
  </sheetData>
  <mergeCells count="1">
    <mergeCell ref="A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2026-10-11T04:13:45Z</dcterms:created>
  <dcterms:modified xmlns:dcterms="http://purl.org/dc/terms/" xmlns:xsi="http://www.w3.org/2001/XMLSchema-instance" xsi:type="dcterms:W3CDTF">2026-10-11T04:13:45Z</dcterms:modified>
</cp:coreProperties>
</file>