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Kalender" sheetId="2" state="visible" r:id="rId2"/>
    <sheet xmlns:r="http://schemas.openxmlformats.org/officeDocument/2006/relationships" name="FaseBulan" sheetId="3" state="visible" r:id="rId3"/>
    <sheet xmlns:r="http://schemas.openxmlformats.org/officeDocument/2006/relationships" name="Bulan" sheetId="4" state="visible" r:id="rId4"/>
    <sheet xmlns:r="http://schemas.openxmlformats.org/officeDocument/2006/relationships" name="KoreksiHilal" sheetId="5" state="visible" r:id="rId5"/>
    <sheet xmlns:r="http://schemas.openxmlformats.org/officeDocument/2006/relationships" name="Ijtimak" sheetId="6" state="visible" r:id="rId6"/>
    <sheet xmlns:r="http://schemas.openxmlformats.org/officeDocument/2006/relationships" name="Urfi" sheetId="7" state="visible" r:id="rId7"/>
    <sheet xmlns:r="http://schemas.openxmlformats.org/officeDocument/2006/relationships" name="DataHilal" sheetId="8" state="visible" r:id="rId8"/>
    <sheet xmlns:r="http://schemas.openxmlformats.org/officeDocument/2006/relationships" name="Kriteria" sheetId="9" state="visible" r:id="rId9"/>
    <sheet xmlns:r="http://schemas.openxmlformats.org/officeDocument/2006/relationships" name="Rukyat" sheetId="10" state="visible" r:id="rId10"/>
    <sheet xmlns:r="http://schemas.openxmlformats.org/officeDocument/2006/relationships" name="Gerhana" sheetId="11" state="visible" r:id="rId11"/>
    <sheet xmlns:r="http://schemas.openxmlformats.org/officeDocument/2006/relationships" name="GerhanaBulan" sheetId="12" state="visible" r:id="rId12"/>
    <sheet xmlns:r="http://schemas.openxmlformats.org/officeDocument/2006/relationships" name="GerhanaMatahari" sheetId="13" state="visible" r:id="rId13"/>
  </sheets>
  <definedNames/>
  <calcPr calcId="124519" fullCalcOnLoad="1"/>
</workbook>
</file>

<file path=xl/styles.xml><?xml version="1.0" encoding="utf-8"?>
<styleSheet xmlns="http://schemas.openxmlformats.org/spreadsheetml/2006/main">
  <numFmts count="10">
    <numFmt numFmtId="164" formatCode="0.000000"/>
    <numFmt numFmtId="165" formatCode="0.0"/>
    <numFmt numFmtId="166" formatCode="0.0000"/>
    <numFmt numFmtId="167" formatCode="dd/mm/yyyy hh:mm"/>
    <numFmt numFmtId="168" formatCode="0.000000000"/>
    <numFmt numFmtId="169" formatCode="0.00000"/>
    <numFmt numFmtId="170" formatCode="dd/mm/yyyy hh:mm:ss"/>
    <numFmt numFmtId="171" formatCode="dd/mm/yyyy"/>
    <numFmt numFmtId="172" formatCode="hh:mm:ss"/>
    <numFmt numFmtId="173" formatCode="0.000"/>
  </numFmts>
  <fonts count="6">
    <font>
      <name val="Calibri"/>
      <family val="2"/>
      <color theme="1"/>
      <sz val="11"/>
      <scheme val="minor"/>
    </font>
    <font>
      <b val="1"/>
      <sz val="13"/>
    </font>
    <font>
      <b val="1"/>
    </font>
    <font>
      <b val="1"/>
      <color rgb="001F4E9E"/>
    </font>
    <font>
      <b val="1"/>
      <sz val="14"/>
    </font>
    <font>
      <i val="1"/>
      <color rgb="0056627A"/>
      <sz val="9"/>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0" pivotButton="0" quotePrefix="0" xfId="0"/>
    <xf numFmtId="1" fontId="3" fillId="3" borderId="0" pivotButton="0" quotePrefix="0" xfId="0"/>
    <xf numFmtId="2" fontId="3" fillId="3" borderId="0" pivotButton="0" quotePrefix="0" xfId="0"/>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2" fontId="0" fillId="0" borderId="0" pivotButton="0" quotePrefix="0" xfId="0"/>
    <xf numFmtId="167" fontId="0" fillId="0" borderId="0" pivotButton="0" quotePrefix="0" xfId="0"/>
    <xf numFmtId="164" fontId="3" fillId="3" borderId="0" pivotButton="0" quotePrefix="0" xfId="0"/>
    <xf numFmtId="165" fontId="3" fillId="3" borderId="0" pivotButton="0" quotePrefix="0" xfId="0"/>
    <xf numFmtId="168" fontId="0" fillId="0" borderId="0" pivotButton="0" quotePrefix="0" xfId="0"/>
    <xf numFmtId="166" fontId="3" fillId="3" borderId="0" pivotButton="0" quotePrefix="0" xfId="0"/>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0"/>
  <sheetViews>
    <sheetView workbookViewId="0">
      <selection activeCell="A1" sqref="A1"/>
    </sheetView>
  </sheetViews>
  <sheetFormatPr baseColWidth="8" defaultRowHeight="15"/>
  <cols>
    <col width="18" customWidth="1" min="1" max="1"/>
    <col width="10" customWidth="1" min="2" max="2"/>
    <col width="52" customWidth="1" min="3" max="3"/>
    <col width="40" customWidth="1" min="4" max="4"/>
    <col width="42" customWidth="1" min="5" max="5"/>
    <col width="40" customWidth="1" min="6" max="6"/>
  </cols>
  <sheetData>
    <row r="1">
      <c r="A1" s="20" t="inlineStr">
        <is>
          <t>Petunjuk Lembar Kerja Astronomi Islam Jilid 2</t>
        </is>
      </c>
    </row>
    <row r="2" ht="30" customHeight="1">
      <c r="A2" s="21" t="inlineStr">
        <is>
          <t>Lembar kerja ini mengikuti Praktik Excel di buku. Sel berlatar kuning dengan angka biru adalah masukan; sel lain berisi rumus dan tidak perlu diubah. Beberapa sheet saling terhubung, jadi isilah menurut alur di bawah.</t>
        </is>
      </c>
    </row>
    <row r="3">
      <c r="A3" s="22" t="inlineStr">
        <is>
          <t>Peta sheet dan hubungannya</t>
        </is>
      </c>
    </row>
    <row r="4">
      <c r="A4" s="2" t="inlineStr">
        <is>
          <t>Sheet</t>
        </is>
      </c>
      <c r="B4" s="2" t="inlineStr">
        <is>
          <t>Bab</t>
        </is>
      </c>
      <c r="C4" s="2" t="inlineStr">
        <is>
          <t>Isi</t>
        </is>
      </c>
      <c r="D4" s="2" t="inlineStr">
        <is>
          <t>Hubungan</t>
        </is>
      </c>
      <c r="E4" s="2" t="inlineStr">
        <is>
          <t>Sumber rumus</t>
        </is>
      </c>
      <c r="F4" s="2" t="inlineStr">
        <is>
          <t>Ketelitian</t>
        </is>
      </c>
    </row>
    <row r="5" ht="30" customHeight="1">
      <c r="A5" s="23" t="inlineStr">
        <is>
          <t>Kalender</t>
        </is>
      </c>
      <c r="B5" s="21" t="inlineStr">
        <is>
          <t>Bab 1</t>
        </is>
      </c>
      <c r="C5" s="21" t="inlineStr">
        <is>
          <t>Tanggal Masehi → Julian Day, hari, pasaran, tanggal Hijriyah urfi.</t>
        </is>
      </c>
      <c r="D5" s="21" t="inlineStr">
        <is>
          <t>Berdiri sendiri.</t>
        </is>
      </c>
      <c r="E5" s="21" t="inlineStr">
        <is>
          <t>Julian Day: Meeus (1998, bab 7); hari dan pasaran dari JD</t>
        </is>
      </c>
      <c r="F5" s="21" t="inlineStr">
        <is>
          <t>Pasti (aturan hitung)</t>
        </is>
      </c>
    </row>
    <row r="6" ht="30" customHeight="1">
      <c r="A6" s="23" t="inlineStr">
        <is>
          <t>FaseBulan</t>
        </is>
      </c>
      <c r="B6" s="21" t="inlineStr">
        <is>
          <t>Bab 2</t>
        </is>
      </c>
      <c r="C6" s="21" t="inlineStr">
        <is>
          <t>Umur, elongasi, dan iluminasi Bulan dari ijtimak rata-rata.</t>
        </is>
      </c>
      <c r="D6" s="21" t="inlineStr">
        <is>
          <t>Berdiri sendiri.</t>
        </is>
      </c>
      <c r="E6" s="21" t="inlineStr">
        <is>
          <t>Bulan sinodis rata-rata 29,530589 hari; elongasi dan iluminasi pendekatan</t>
        </is>
      </c>
      <c r="F6" s="21" t="inlineStr">
        <is>
          <t>Perkiraan kasar, galat beberapa jam pada umur Bulan</t>
        </is>
      </c>
    </row>
    <row r="7" ht="45" customHeight="1">
      <c r="A7" s="23" t="inlineStr">
        <is>
          <t>Bulan</t>
        </is>
      </c>
      <c r="B7" s="21" t="inlineStr">
        <is>
          <t>Bab 3</t>
        </is>
      </c>
      <c r="C7" s="21" t="inlineStr">
        <is>
          <t>Posisi Bulan (60 + 60 suku Meeus).</t>
        </is>
      </c>
      <c r="D7" s="21" t="inlineStr">
        <is>
          <t>B4 dan B5 otomatis diambil dari DataHilal.</t>
        </is>
      </c>
      <c r="E7" s="21" t="inlineStr">
        <is>
          <t>Teori ELP-2000/82 (Chapront-Touzé &amp; Chapront, Biro Bujur Paris, 1983), versi 60 + 60 suku dari Meeus (1998, bab 47)</t>
        </is>
      </c>
      <c r="F7" s="21" t="inlineStr">
        <is>
          <t>Bujur Bulan sekitar 10″, lintang sekitar 4″</t>
        </is>
      </c>
    </row>
    <row r="8" ht="30" customHeight="1">
      <c r="A8" s="23" t="inlineStr">
        <is>
          <t>KoreksiHilal</t>
        </is>
      </c>
      <c r="B8" s="21" t="inlineStr">
        <is>
          <t>Bab 4</t>
        </is>
      </c>
      <c r="C8" s="21" t="inlineStr">
        <is>
          <t>Tangga koreksi tinggi hilal.</t>
        </is>
      </c>
      <c r="D8" s="21" t="inlineStr">
        <is>
          <t>Berdiri sendiri; masukan boleh disalin dari DataHilal.</t>
        </is>
      </c>
      <c r="E8" s="21" t="inlineStr">
        <is>
          <t>Paralaks dari jarak Bulan; refraksi Sæmundsson (1986); kerendahan ufuk 1,76′√H</t>
        </is>
      </c>
      <c r="F8" s="21" t="inlineStr">
        <is>
          <t>Baik untuk udara standar; refraksi nyata dekat ufuk bisa berbeda 0,1°–0,5°</t>
        </is>
      </c>
    </row>
    <row r="9" ht="30" customHeight="1">
      <c r="A9" s="23" t="inlineStr">
        <is>
          <t>Ijtimak</t>
        </is>
      </c>
      <c r="B9" s="21" t="inlineStr">
        <is>
          <t>Bab 5</t>
        </is>
      </c>
      <c r="C9" s="21" t="inlineStr">
        <is>
          <t>Saat ijtimak (Meeus). Masukan: tahun desimal B4, atau bulan Hijriyah di B23–B24.</t>
        </is>
      </c>
      <c r="D9" s="21" t="inlineStr">
        <is>
          <t>Dipakai DataHilal (umur Bulan dan tanggal pengamatan).</t>
        </is>
      </c>
      <c r="E9" s="21" t="inlineStr">
        <is>
          <t>Meeus (1998, bab 49): ijtimak rata-rata + 25 suku periodik + 14 suku planet</t>
        </is>
      </c>
      <c r="F9" s="21" t="inlineStr">
        <is>
          <t>Contoh Syawal 1447 H berselisih 7 detik dari BMKG</t>
        </is>
      </c>
    </row>
    <row r="10" ht="45" customHeight="1">
      <c r="A10" s="23" t="inlineStr">
        <is>
          <t>Urfi</t>
        </is>
      </c>
      <c r="B10" s="21" t="inlineStr">
        <is>
          <t>Bab 6</t>
        </is>
      </c>
      <c r="C10" s="21" t="inlineStr">
        <is>
          <t>Tanggal Hijriyah urfi → Masehi.</t>
        </is>
      </c>
      <c r="D10" s="21" t="inlineStr">
        <is>
          <t>Berdiri sendiri.</t>
        </is>
      </c>
      <c r="E10" s="21" t="inlineStr">
        <is>
          <t>Kalender Hijriyah tabular (siklus 30 tahun, 11 kabisat, pola II) dari tradisi zij Islam</t>
        </is>
      </c>
      <c r="F10" s="21" t="inlineStr">
        <is>
          <t>Pasti; tanggal urfi bisa berbeda 1–2 hari dari awal bulan sebenarnya</t>
        </is>
      </c>
    </row>
    <row r="11" ht="45" customHeight="1">
      <c r="A11" s="23" t="inlineStr">
        <is>
          <t>DataHilal</t>
        </is>
      </c>
      <c r="B11" s="21" t="inlineStr">
        <is>
          <t>Bab 7</t>
        </is>
      </c>
      <c r="C11" s="21" t="inlineStr">
        <is>
          <t>Data hilal saat Matahari terbenam. Masukan: lokasi B4–B7, tanggal B8–B10, ΔT B11.</t>
        </is>
      </c>
      <c r="D11" s="21" t="inlineStr">
        <is>
          <t>Memakai Bulan dan Ijtimak; dibaca Kriteria dan Rukyat.</t>
        </is>
      </c>
      <c r="E11" s="21" t="inlineStr">
        <is>
          <t>Matahari: algoritma NOAA (Meeus 1998, bab 25); Bulan: sheet Bulan; paralaks dan kerendahan ufuk</t>
        </is>
      </c>
      <c r="F11" s="21" t="inlineStr">
        <is>
          <t>Terbenam Matahari 1 detik, terbenam Bulan 6 detik, elongasi di bawah 0,05° dari BMKG</t>
        </is>
      </c>
    </row>
    <row r="12" ht="45" customHeight="1">
      <c r="A12" s="23" t="inlineStr">
        <is>
          <t>Kriteria</t>
        </is>
      </c>
      <c r="B12" s="21" t="inlineStr">
        <is>
          <t>Bab 8</t>
        </is>
      </c>
      <c r="C12" s="21" t="inlineStr">
        <is>
          <t>Hasil wujudul hilal, MABIMS, Danjon, Odeh, Yallop, Turki 2016.</t>
        </is>
      </c>
      <c r="D12" s="21" t="inlineStr">
        <is>
          <t>Membaca DataHilal; tanpa masukan.</t>
        </is>
      </c>
      <c r="E12" s="21" t="inlineStr">
        <is>
          <t>Wujudul hilal, MABIMS lama dan baru (2021), Danjon (1932), Odeh (2004), Yallop (1997), Turki 2016</t>
        </is>
      </c>
      <c r="F12" s="21" t="inlineStr">
        <is>
          <t>Tergantung data hilal; kasus di dekat batas kriteria perlu dicocokkan dengan data resmi</t>
        </is>
      </c>
    </row>
    <row r="13" ht="30" customHeight="1">
      <c r="A13" s="23" t="inlineStr">
        <is>
          <t>Rukyat</t>
        </is>
      </c>
      <c r="B13" s="21" t="inlineStr">
        <is>
          <t>Bab 11</t>
        </is>
      </c>
      <c r="C13" s="21" t="inlineStr">
        <is>
          <t>Posisi hilal setiap 4 menit sesudah Matahari terbenam.</t>
        </is>
      </c>
      <c r="D13" s="21" t="inlineStr">
        <is>
          <t>Membaca DataHilal; masukan hanya koefisien ekstingsi B8.</t>
        </is>
      </c>
      <c r="E13" s="21" t="inlineStr">
        <is>
          <t>Massa udara Kasten &amp; Young (1989); ekstingsi dengan koefisien k</t>
        </is>
      </c>
      <c r="F13" s="21" t="inlineStr">
        <is>
          <t>Perkiraan; koefisien ekstingsi dipilih sendiri</t>
        </is>
      </c>
    </row>
    <row r="14" ht="45" customHeight="1">
      <c r="A14" s="23" t="inlineStr">
        <is>
          <t>Gerhana</t>
        </is>
      </c>
      <c r="B14" s="21" t="inlineStr">
        <is>
          <t>Bab 13</t>
        </is>
      </c>
      <c r="C14" s="21" t="inlineStr">
        <is>
          <t>Prediksi gerhana (Meeus). Masukan: perkiraan tanggal B4–B6, jenis B7.</t>
        </is>
      </c>
      <c r="D14" s="21" t="inlineStr">
        <is>
          <t>Hasilnya disalin ke GerhanaBulan.</t>
        </is>
      </c>
      <c r="E14" s="21" t="inlineStr">
        <is>
          <t>Meeus (1998, bab 54): γ, u, magnitudo, dan setengah fase</t>
        </is>
      </c>
      <c r="F14" s="21" t="inlineStr">
        <is>
          <t>Jenis gerhana hampir selalu benar; puncak dan kontak berselisih beberapa menit dari NASA</t>
        </is>
      </c>
    </row>
    <row r="15" ht="45" customHeight="1">
      <c r="A15" s="23" t="inlineStr">
        <is>
          <t>GerhanaBulan</t>
        </is>
      </c>
      <c r="B15" s="21" t="inlineStr">
        <is>
          <t>Bab 14</t>
        </is>
      </c>
      <c r="C15" s="21" t="inlineStr">
        <is>
          <t>Jam kontak gerhana Bulan.</t>
        </is>
      </c>
      <c r="D15" s="21" t="inlineStr">
        <is>
          <t>Masukan B4–B7 disalin dari Gerhana!B24 dan B36–B38.</t>
        </is>
      </c>
      <c r="E15" s="21" t="inlineStr">
        <is>
          <t>Meeus (1998, bab 54): γ, u, magnitudo, dan setengah fase</t>
        </is>
      </c>
      <c r="F15" s="21" t="inlineStr">
        <is>
          <t>Jenis gerhana hampir selalu benar; puncak dan kontak berselisih beberapa menit dari NASA</t>
        </is>
      </c>
    </row>
    <row r="16" ht="30" customHeight="1">
      <c r="A16" s="23" t="inlineStr">
        <is>
          <t>GerhanaMatahari</t>
        </is>
      </c>
      <c r="B16" s="21" t="inlineStr">
        <is>
          <t>Bab 15</t>
        </is>
      </c>
      <c r="C16" s="21" t="inlineStr">
        <is>
          <t>Magnitudo dan obskurasi di suatu tempat.</t>
        </is>
      </c>
      <c r="D16" s="21" t="inlineStr">
        <is>
          <t>Masukan dari SIM II-15.2.</t>
        </is>
      </c>
      <c r="E16" s="21" t="inlineStr">
        <is>
          <t>Geometri dua lingkaran yang beririsan</t>
        </is>
      </c>
      <c r="F16" s="21" t="inlineStr">
        <is>
          <t>Pasti, asalkan semidiameter dan jarak sudut benar (dari aplikasi)</t>
        </is>
      </c>
    </row>
    <row r="17">
      <c r="A17" s="22" t="inlineStr">
        <is>
          <t>Alur A. Menentukan awal bulan Hijriyah (contoh: Jumadilawal 1448 H di UIN SGD Bandung)</t>
        </is>
      </c>
    </row>
    <row r="18" ht="30" customHeight="1">
      <c r="A18" s="21" t="inlineStr">
        <is>
          <t>1. Sheet Ijtimak: isi B23 = 1448 dan B24 = 5 (Jumadilawal). B25 memberi k = 331 dan B26 memberi tahun desimal 2026,7615. Ketik 2026,7615 di B4, atau isi B4 dengan rumus =B26 supaya selalu mengikuti B23–B24.</t>
        </is>
      </c>
    </row>
    <row r="19" ht="15" customHeight="1">
      <c r="A19" s="21" t="inlineStr">
        <is>
          <t>2. Baca Ijtimak!B20: ijtimak Sabtu, 10 Oktober 2026 pukul 22.50 WIB. Ini ijtimak yang mengawali Jumadilawal.</t>
        </is>
      </c>
    </row>
    <row r="20" ht="30" customHeight="1">
      <c r="A20" s="21" t="inlineStr">
        <is>
          <t>3. Sheet DataHilal: isi lokasi di B4–B7 bila bukan UIN SGD Bandung. Lihat B60 (tanggal rukyat yang disarankan): 11/10/2026. Karena ijtimak terjadi sesudah Matahari terbenam pada 10 Oktober, pengamatan dilakukan sore berikutnya. Isi B8 = 2026, B9 = 10, B10 = 11.</t>
        </is>
      </c>
    </row>
    <row r="21" ht="30" customHeight="1">
      <c r="A21" s="21" t="inlineStr">
        <is>
          <t>4. Periksa DataHilal: Matahari terbenam 17.45.53 WIB (B32), tinggi hilal toposentris 5,37° (B41), elongasi geosentris 10,36° (B47), umur Bulan 18,9 jam (B52). Umur harus positif; bila negatif, tanggal pengamatan terlalu awal.</t>
        </is>
      </c>
    </row>
    <row r="22" ht="30" customHeight="1">
      <c r="A22" s="21" t="inlineStr">
        <is>
          <t>5. Sheet Kriteria: wujudul hilal, MABIMS lama, MABIMS baru, Danjon, dan Turki 2016 terpenuhi; Odeh zona B. Bila kriteria yang dipakai terpenuhi, tanggal 1 jatuh keesokan harinya: 1 Jumadilawal 1448 H = Senin, 12 Oktober 2026. Bila tidak terpenuhi, bulan sebelumnya digenapkan 30 hari, sehingga tanggal 1 jatuh lusa.</t>
        </is>
      </c>
    </row>
    <row r="23" ht="15" customHeight="1">
      <c r="A23" s="21" t="inlineStr">
        <is>
          <t>6. Sheet Rukyat: tabel tinggi hilal dan sisa cahayanya setiap 4 menit untuk panduan pengamat.</t>
        </is>
      </c>
    </row>
    <row r="24">
      <c r="A24" s="22" t="inlineStr">
        <is>
          <t>Mencari tahun desimal sendiri</t>
        </is>
      </c>
    </row>
    <row r="25" ht="45" customHeight="1">
      <c r="A25" s="21" t="inlineStr">
        <is>
          <t>Tahun desimal = tahun + (nomor hari dalam tahun − 0,5)/365,25. Contoh: 9 Desember 2026 adalah hari ke-343, jadi 2026 + 342,5/365,25 = 2026,94. Tidak perlu teliti: rumus B8 membulatkan k ke bilangan bulat terdekat, sehingga tanggal mana pun dalam rentang sekitar satu minggu dari ijtimak memberi hasil yang sama. Bila yang diketahui adalah bulan Hijriyahnya, lebih mudah memakai B23–B24.</t>
        </is>
      </c>
    </row>
    <row r="26" ht="15" customHeight="1">
      <c r="A26" s="21" t="inlineStr">
        <is>
          <t>Nomor bulan Hijriyah: 1 Muharam, 2 Safar, 3 Rabiulawal, 4 Rabiulakhir, 5 Jumadilawal, 6 Jumadilakhir, 7 Rajab, 8 Syakban, 9 Ramadan, 10 Syawal, 11 Zulkaidah, 12 Zulhijah.</t>
        </is>
      </c>
    </row>
    <row r="27">
      <c r="A27" s="22" t="inlineStr">
        <is>
          <t>Alur B. Konversi tanggal</t>
        </is>
      </c>
    </row>
    <row r="28" ht="15" customHeight="1">
      <c r="A28" s="21" t="inlineStr">
        <is>
          <t>Masehi ke Hijriyah urfi: sheet Kalender (B4–B8). Hijriyah urfi ke Masehi: sheet Urfi (B4–B6). Tanggal urfi hanya perkiraan; awal bulan yang sebenarnya ditentukan dengan Alur A.</t>
        </is>
      </c>
    </row>
    <row r="29">
      <c r="A29" s="22" t="inlineStr">
        <is>
          <t>Alur C. Gerhana</t>
        </is>
      </c>
    </row>
    <row r="30" ht="30" customHeight="1">
      <c r="A30" s="21" t="inlineStr">
        <is>
          <t>Sheet Gerhana: isi perkiraan tanggal (B4–B6) dan jenis (B7: 0 = Matahari, 1 = Bulan). Tanggal perkiraan boleh meleset beberapa hari. Bila sheet menyatakan tidak ada gerhana, coba bulan berikutnya. Untuk gerhana Bulan, salin B24 dan B36–B38 ke sheet GerhanaBulan (B4–B7) untuk mendapatkan jam kontak dalam WIB.</t>
        </is>
      </c>
    </row>
    <row r="31">
      <c r="A31" s="22" t="inlineStr">
        <is>
          <t>Masalah umum</t>
        </is>
      </c>
    </row>
    <row r="32" ht="15" customHeight="1">
      <c r="A32" s="21" t="inlineStr">
        <is>
          <t>Muncul #NUM! atau #VALUE! di DataHilal: tanggal belum lengkap, atau lokasi di lintang tinggi sehingga Matahari atau Bulan tidak terbenam.</t>
        </is>
      </c>
    </row>
    <row r="33" ht="30" customHeight="1">
      <c r="A33" s="21" t="inlineStr">
        <is>
          <t>Semua kriteria "tidak" padahal hilal seharusnya tinggi: periksa apakah tanggal pengamatan (B8–B10) sama dengan B60 dan apakah tahun desimal di Ijtimak!B4 sesuai bulan yang dimaksud.</t>
        </is>
      </c>
    </row>
    <row r="34" ht="15" customHeight="1">
      <c r="A34" s="21" t="inlineStr">
        <is>
          <t>Pemisah rumus: file disimpan dalam format standar Excel, sehingga Excel berbahasa Indonesia otomatis menampilkan titik koma (;) dan koma desimal, seperti di buku.</t>
        </is>
      </c>
    </row>
    <row r="35">
      <c r="A35" s="22" t="inlineStr">
        <is>
          <t>Batas ketelitian</t>
        </is>
      </c>
    </row>
    <row r="36" ht="30" customHeight="1">
      <c r="A36" s="21" t="inlineStr">
        <is>
          <t>Model ringkas: rumus di sini versi ringkas supaya bisa diketik sel demi sel. Aplikasi Falak Lab memakai mesin yang lebih teliti (VSOP87 untuk Matahari): gerhana di aplikasi cocok dengan NASA sampai detik, versi Excel berselisih beberapa menit.</t>
        </is>
      </c>
    </row>
    <row r="37" ht="15" customHeight="1">
      <c r="A37" s="21" t="inlineStr">
        <is>
          <t>ΔT tetap: selisih waktu atom dan waktu rotasi Bumi diisi 69,3 detik, tepat untuk sekitar 2020–2030. Untuk tahun yang jauh, ganti nilainya (tabel ΔT Bab 3).</t>
        </is>
      </c>
    </row>
    <row r="38" ht="30" customHeight="1">
      <c r="A38" s="21" t="inlineStr">
        <is>
          <t>Refraksi dekat ufuk: ketidakpastian terbesar dalam praktik datang dari atmosfer. Di dekat ufuk, pembelokan cahaya bisa berbeda 0,1°–0,5° dari nilai standar, bergantung suhu dan kelembapan.</t>
        </is>
      </c>
    </row>
    <row r="39" ht="30" customHeight="1">
      <c r="A39" s="21" t="inlineStr">
        <is>
          <t>Kasus tipis: bila data hilal sangat dekat batas kriteria (misalnya elongasi 6,41° terhadap batas 6,4°), selisih seperseratus derajat dapat mengubah keputusan. Bandingkan dengan data resmi BMKG atau Kemenag.</t>
        </is>
      </c>
    </row>
    <row r="40" ht="30" customHeight="1">
      <c r="A40" s="21" t="inlineStr">
        <is>
          <t>Kesimpulan: cukup akurat untuk belajar dan memeriksa data hilal resmi. Untuk keputusan resmi tetap dipakai data lembaga berwenang yang memakai teori lengkap. Rujukan utama: Meeus, J. (1998). Astronomical Algorithms (ed. ke-2). Richmond: Willmann-Bell.</t>
        </is>
      </c>
    </row>
  </sheetData>
  <mergeCells count="27">
    <mergeCell ref="A37:F37"/>
    <mergeCell ref="A27:F27"/>
    <mergeCell ref="A18:F18"/>
    <mergeCell ref="A26:F26"/>
    <mergeCell ref="A3:F3"/>
    <mergeCell ref="A21:F21"/>
    <mergeCell ref="A2:F2"/>
    <mergeCell ref="A33:F33"/>
    <mergeCell ref="A23:F23"/>
    <mergeCell ref="A32:F32"/>
    <mergeCell ref="A22:F22"/>
    <mergeCell ref="A17:F17"/>
    <mergeCell ref="A35:F35"/>
    <mergeCell ref="A20:F20"/>
    <mergeCell ref="A29:F29"/>
    <mergeCell ref="A38:F38"/>
    <mergeCell ref="A28:F28"/>
    <mergeCell ref="A19:F19"/>
    <mergeCell ref="A31:F31"/>
    <mergeCell ref="A34:F34"/>
    <mergeCell ref="A40:F40"/>
    <mergeCell ref="A30:F30"/>
    <mergeCell ref="A39:F39"/>
    <mergeCell ref="A24:F24"/>
    <mergeCell ref="A36:F36"/>
    <mergeCell ref="A1:F1"/>
    <mergeCell ref="A25:F2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outlineLevelCol="0"/>
  <cols>
    <col width="38" customWidth="1" min="1" max="1"/>
    <col width="22" customWidth="1" min="2" max="2"/>
  </cols>
  <sheetData>
    <row r="1">
      <c r="A1" s="1" t="inlineStr">
        <is>
          <t>Kalender</t>
        </is>
      </c>
      <c r="B1" t="inlineStr">
        <is>
          <t>Konversi tanggal Masehi ke Julian Day, hari, pasaran, dan tanggal Hijriyah urfi.</t>
        </is>
      </c>
    </row>
    <row r="2" ht="24" customHeight="1">
      <c r="A2" s="24" t="inlineStr">
        <is>
          <t>Sumber rumus: Julian Day: Meeus (1998, bab 7); hari dan pasaran dari JD. Ketelitian: Pasti (aturan hitung).</t>
        </is>
      </c>
    </row>
    <row r="3">
      <c r="A3" s="2" t="inlineStr">
        <is>
          <t>Masukan</t>
        </is>
      </c>
      <c r="B3" s="2" t="inlineStr">
        <is>
          <t>Nilai</t>
        </is>
      </c>
    </row>
    <row r="4">
      <c r="A4" t="inlineStr">
        <is>
          <t>Tahun (Y)</t>
        </is>
      </c>
      <c r="B4" s="3" t="n">
        <v>2026</v>
      </c>
    </row>
    <row r="5">
      <c r="A5" t="inlineStr">
        <is>
          <t>Bulan (M)</t>
        </is>
      </c>
      <c r="B5" s="3" t="n">
        <v>12</v>
      </c>
    </row>
    <row r="6">
      <c r="A6" t="inlineStr">
        <is>
          <t>Tanggal (D)</t>
        </is>
      </c>
      <c r="B6" s="3" t="n">
        <v>9</v>
      </c>
    </row>
    <row r="7">
      <c r="A7" t="inlineStr">
        <is>
          <t>Jam lokal (jam desimal)</t>
        </is>
      </c>
      <c r="B7" s="4" t="n">
        <v>18</v>
      </c>
    </row>
    <row r="8">
      <c r="A8" t="inlineStr">
        <is>
          <t>Zona waktu (UTC+)</t>
        </is>
      </c>
      <c r="B8" s="3" t="n">
        <v>7</v>
      </c>
    </row>
    <row r="10">
      <c r="A10" t="inlineStr">
        <is>
          <t>Jam UT</t>
        </is>
      </c>
      <c r="B10" s="5">
        <f>B7-B8</f>
        <v/>
      </c>
    </row>
    <row r="11">
      <c r="A11" t="inlineStr">
        <is>
          <t>Y'</t>
        </is>
      </c>
      <c r="B11" s="6">
        <f>IF(B5&lt;=2,B4-1,B4)</f>
        <v/>
      </c>
    </row>
    <row r="12">
      <c r="A12" t="inlineStr">
        <is>
          <t>M'</t>
        </is>
      </c>
      <c r="B12" s="6">
        <f>IF(B5&lt;=2,B5+12,B5)</f>
        <v/>
      </c>
    </row>
    <row r="13">
      <c r="A13" t="inlineStr">
        <is>
          <t>A</t>
        </is>
      </c>
      <c r="B13" s="6">
        <f>INT(B11/100)</f>
        <v/>
      </c>
    </row>
    <row r="14">
      <c r="A14" t="inlineStr">
        <is>
          <t>B (koreksi Gregorius)</t>
        </is>
      </c>
      <c r="B14" s="6">
        <f>IF(B4*10000+B5*100+B6&gt;=15821015,2-B13+INT(B13/4),0)</f>
        <v/>
      </c>
    </row>
    <row r="15">
      <c r="A15" t="inlineStr">
        <is>
          <t>JD tengah malam (00.00 UT)</t>
        </is>
      </c>
      <c r="B15" s="7">
        <f>INT(365.25*(B11+4716))+INT(30.6001*(B12+1))+B6+B14-1524.5</f>
        <v/>
      </c>
    </row>
    <row r="16">
      <c r="A16" t="inlineStr">
        <is>
          <t>JD</t>
        </is>
      </c>
      <c r="B16" s="5">
        <f>B15+B10/24</f>
        <v/>
      </c>
    </row>
    <row r="17">
      <c r="A17" t="inlineStr">
        <is>
          <t>Nomor hari</t>
        </is>
      </c>
      <c r="B17" s="6">
        <f>MOD(INT(B15+1.5),7)</f>
        <v/>
      </c>
    </row>
    <row r="18">
      <c r="A18" t="inlineStr">
        <is>
          <t>Hari</t>
        </is>
      </c>
      <c r="B18">
        <f>CHOOSE(B17+1,"Ahad","Senin","Selasa","Rabu","Kamis","Jumat","Sabtu")</f>
        <v/>
      </c>
    </row>
    <row r="19">
      <c r="A19" t="inlineStr">
        <is>
          <t>Nomor pasaran</t>
        </is>
      </c>
      <c r="B19" s="6">
        <f>MOD(INT(B15+0.5),5)</f>
        <v/>
      </c>
    </row>
    <row r="20">
      <c r="A20" t="inlineStr">
        <is>
          <t>Pasaran</t>
        </is>
      </c>
      <c r="B20">
        <f>CHOOSE(B19+1,"Legi","Pahing","Pon","Wage","Kliwon")</f>
        <v/>
      </c>
    </row>
    <row r="22">
      <c r="A22" t="inlineStr">
        <is>
          <t>N = hari sejak 1 Muharam 1 H</t>
        </is>
      </c>
      <c r="B22" s="6">
        <f>INT(B15+0.5)-1948440</f>
        <v/>
      </c>
    </row>
    <row r="23">
      <c r="A23" t="inlineStr">
        <is>
          <t>Tahun Hijriyah</t>
        </is>
      </c>
      <c r="B23" s="6">
        <f>INT((30*B22+10646)/10631)</f>
        <v/>
      </c>
    </row>
    <row r="24">
      <c r="A24" t="inlineStr">
        <is>
          <t>Hari ke- dalam tahun (mulai 0)</t>
        </is>
      </c>
      <c r="B24" s="6">
        <f>B22-(354*(B23-1)+INT((3+11*B23)/30))</f>
        <v/>
      </c>
    </row>
    <row r="25">
      <c r="A25" t="inlineStr">
        <is>
          <t>Bulan Hijriyah</t>
        </is>
      </c>
      <c r="B25" s="6">
        <f>MIN(12,INT(B24/29.5)+1)</f>
        <v/>
      </c>
    </row>
    <row r="26">
      <c r="A26" t="inlineStr">
        <is>
          <t>Tanggal Hijriyah</t>
        </is>
      </c>
      <c r="B26" s="6">
        <f>B24-(29*(B25-1)+INT(B25/2))+1</f>
        <v/>
      </c>
    </row>
    <row r="27">
      <c r="A27" t="inlineStr">
        <is>
          <t>Nama bulan</t>
        </is>
      </c>
      <c r="B27">
        <f>CHOOSE(B25,"Muharam","Safar","Rabiulawal","Rabiulakhir","Jumadilawal","Jumadilakhir","Rajab","Syakban","Ramadan","Syawal","Zulkaidah","Zulhijah")</f>
        <v/>
      </c>
    </row>
    <row r="28">
      <c r="A28" t="inlineStr">
        <is>
          <t>Tanggal Hijriyah (urfi)</t>
        </is>
      </c>
      <c r="B28">
        <f>B26&amp;" "&amp;B27&amp;" "&amp;B23&amp;" H"</f>
        <v/>
      </c>
    </row>
  </sheetData>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outlineLevelCol="0"/>
  <cols>
    <col width="38" customWidth="1" min="1" max="1"/>
    <col width="22" customWidth="1" min="2" max="2"/>
  </cols>
  <sheetData>
    <row r="1">
      <c r="A1" s="1" t="inlineStr">
        <is>
          <t>FaseBulan</t>
        </is>
      </c>
      <c r="B1" t="inlineStr">
        <is>
          <t>Perkiraan umur, elongasi, dan iluminasi Bulan dari ijtimak rata-rata.</t>
        </is>
      </c>
    </row>
    <row r="2" ht="36" customHeight="1">
      <c r="A2" s="24" t="inlineStr">
        <is>
          <t>Sumber rumus: Bulan sinodis rata-rata 29,530589 hari; elongasi dan iluminasi pendekatan. Ketelitian: Perkiraan kasar, galat beberapa jam pada umur Bulan.</t>
        </is>
      </c>
    </row>
    <row r="3">
      <c r="A3" s="2" t="inlineStr">
        <is>
          <t>Masukan</t>
        </is>
      </c>
      <c r="B3" s="2" t="inlineStr">
        <is>
          <t>Nilai</t>
        </is>
      </c>
    </row>
    <row r="4">
      <c r="A4" t="inlineStr">
        <is>
          <t>Tahun</t>
        </is>
      </c>
      <c r="B4" s="3" t="n">
        <v>2026</v>
      </c>
    </row>
    <row r="5">
      <c r="A5" t="inlineStr">
        <is>
          <t>Bulan</t>
        </is>
      </c>
      <c r="B5" s="3" t="n">
        <v>12</v>
      </c>
    </row>
    <row r="6">
      <c r="A6" t="inlineStr">
        <is>
          <t>Tanggal</t>
        </is>
      </c>
      <c r="B6" s="3" t="n">
        <v>9</v>
      </c>
    </row>
    <row r="7">
      <c r="A7" t="inlineStr">
        <is>
          <t>Jam lokal (jam desimal)</t>
        </is>
      </c>
      <c r="B7" s="4" t="n">
        <v>18</v>
      </c>
    </row>
    <row r="8">
      <c r="A8" t="inlineStr">
        <is>
          <t>Zona waktu (UTC+)</t>
        </is>
      </c>
      <c r="B8" s="3" t="n">
        <v>7</v>
      </c>
    </row>
    <row r="10">
      <c r="A10" t="inlineStr">
        <is>
          <t>JD</t>
        </is>
      </c>
      <c r="B10" s="5">
        <f>DATE(B4,B5,B6)+B7/24-B8/24+2415018.5</f>
        <v/>
      </c>
    </row>
    <row r="11">
      <c r="A11" t="inlineStr">
        <is>
          <t>k perkiraan</t>
        </is>
      </c>
      <c r="B11" s="8">
        <f>(B4+(DATE(B4,B5,B6)-DATE(B4,1,1))/365.25-2000)*12.3685</f>
        <v/>
      </c>
    </row>
    <row r="12">
      <c r="A12" t="inlineStr">
        <is>
          <t>k bulat</t>
        </is>
      </c>
      <c r="B12" s="6">
        <f>INT(B11)</f>
        <v/>
      </c>
    </row>
    <row r="13">
      <c r="A13" t="inlineStr">
        <is>
          <t>JD ijtimak rata-rata (k bulat)</t>
        </is>
      </c>
      <c r="B13" s="5">
        <f>2451550.09766+29.530588861*B12</f>
        <v/>
      </c>
    </row>
    <row r="14">
      <c r="A14" t="inlineStr">
        <is>
          <t>k terpakai</t>
        </is>
      </c>
      <c r="B14" s="6">
        <f>IF(B13&gt;B10,B12-1,B12)</f>
        <v/>
      </c>
    </row>
    <row r="15">
      <c r="A15" t="inlineStr">
        <is>
          <t>JD ijtimak rata-rata</t>
        </is>
      </c>
      <c r="B15" s="5">
        <f>2451550.09766+29.530588861*B14</f>
        <v/>
      </c>
    </row>
    <row r="16">
      <c r="A16" t="inlineStr">
        <is>
          <t>Umur Bulan (hari)</t>
        </is>
      </c>
      <c r="B16" s="8">
        <f>B10-B15</f>
        <v/>
      </c>
    </row>
    <row r="17">
      <c r="A17" t="inlineStr">
        <is>
          <t>Umur Bulan (jam)</t>
        </is>
      </c>
      <c r="B17" s="9">
        <f>B16*24</f>
        <v/>
      </c>
    </row>
    <row r="18">
      <c r="A18" t="inlineStr">
        <is>
          <t>Elongasi rata-rata (°)</t>
        </is>
      </c>
      <c r="B18" s="9">
        <f>MOD(B16*360/29.530588861,360)</f>
        <v/>
      </c>
    </row>
    <row r="19">
      <c r="A19" t="inlineStr">
        <is>
          <t>Iluminasi</t>
        </is>
      </c>
      <c r="B19" s="8">
        <f>(1-COS(RADIANS(B18)))/2</f>
        <v/>
      </c>
    </row>
    <row r="20">
      <c r="A20" t="inlineStr">
        <is>
          <t>Iluminasi (%)</t>
        </is>
      </c>
      <c r="B20" s="9">
        <f>B19*100</f>
        <v/>
      </c>
    </row>
    <row r="21">
      <c r="A21" t="inlineStr">
        <is>
          <t>Fase</t>
        </is>
      </c>
      <c r="B21">
        <f>IF(B18&lt;7,"sekitar ijtimak",IF(B18&lt;90,"sabit muda",IF(B18&lt;180,"cembung awal",IF(B18&lt;270,"cembung akhir",IF(B18&lt;353,"sabit tua","menjelang ijtimak")))))</f>
        <v/>
      </c>
    </row>
    <row r="22">
      <c r="A22" t="inlineStr">
        <is>
          <t>Ijtimak rata-rata (waktu lokal)</t>
        </is>
      </c>
      <c r="B22" s="10">
        <f>B15-2415018.5+B8/24</f>
        <v/>
      </c>
    </row>
  </sheetData>
  <mergeCells count="1">
    <mergeCell ref="A2:B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outlineLevelCol="0"/>
  <cols>
    <col width="38" customWidth="1" min="1" max="1"/>
    <col width="22" customWidth="1" min="2" max="2"/>
    <col width="13" customWidth="1" min="3" max="3"/>
    <col width="13" customWidth="1" min="4" max="4"/>
    <col width="13" customWidth="1" min="5" max="5"/>
    <col width="13" customWidth="1" min="6" max="6"/>
  </cols>
  <sheetData>
    <row r="1">
      <c r="A1" s="1" t="inlineStr">
        <is>
          <t>Bulan</t>
        </is>
      </c>
      <c r="B1" t="inlineStr">
        <is>
          <t>Posisi geosentris Bulan dengan 60 + 60 suku Meeus (ELP-2000/82 ringkas).</t>
        </is>
      </c>
    </row>
    <row r="2" ht="24" customHeight="1">
      <c r="A2" s="24" t="inlineStr">
        <is>
          <t>Sumber rumus: Teori ELP-2000/82 (Chapront-Touzé &amp; Chapront, Biro Bujur Paris, 1983), versi 60 + 60 suku dari Meeus (1998, bab 47). Ketelitian: Bujur Bulan sekitar 10″, lintang sekitar 4″.</t>
        </is>
      </c>
    </row>
    <row r="3">
      <c r="A3" s="2" t="inlineStr">
        <is>
          <t>Masukan</t>
        </is>
      </c>
      <c r="B3" s="2" t="inlineStr">
        <is>
          <t>Nilai</t>
        </is>
      </c>
    </row>
    <row r="4">
      <c r="A4" t="inlineStr">
        <is>
          <t>JD (UT)</t>
        </is>
      </c>
      <c r="B4" s="11">
        <f>DataHilal!B31</f>
        <v/>
      </c>
      <c r="E4" t="inlineStr">
        <is>
          <t>D</t>
        </is>
      </c>
      <c r="F4" t="inlineStr">
        <is>
          <t>M</t>
        </is>
      </c>
      <c r="G4" t="inlineStr">
        <is>
          <t>M'</t>
        </is>
      </c>
      <c r="H4" t="inlineStr">
        <is>
          <t>F</t>
        </is>
      </c>
      <c r="I4" t="inlineStr">
        <is>
          <t>Σl</t>
        </is>
      </c>
      <c r="J4" t="inlineStr">
        <is>
          <t>Σr</t>
        </is>
      </c>
      <c r="L4" t="inlineStr">
        <is>
          <t>D</t>
        </is>
      </c>
      <c r="M4" t="inlineStr">
        <is>
          <t>M</t>
        </is>
      </c>
      <c r="N4" t="inlineStr">
        <is>
          <t>M'</t>
        </is>
      </c>
      <c r="O4" t="inlineStr">
        <is>
          <t>F</t>
        </is>
      </c>
      <c r="P4" t="inlineStr">
        <is>
          <t>Σb</t>
        </is>
      </c>
    </row>
    <row r="5">
      <c r="A5" t="inlineStr">
        <is>
          <t>ΔT (detik)</t>
        </is>
      </c>
      <c r="B5" s="12">
        <f>DataHilal!B11</f>
        <v/>
      </c>
      <c r="E5" s="6" t="n">
        <v>0</v>
      </c>
      <c r="F5" s="6" t="n">
        <v>0</v>
      </c>
      <c r="G5" s="6" t="n">
        <v>1</v>
      </c>
      <c r="H5" s="6" t="n">
        <v>0</v>
      </c>
      <c r="I5" s="6" t="n">
        <v>6288774</v>
      </c>
      <c r="J5" s="6" t="n">
        <v>-20905355</v>
      </c>
      <c r="L5" s="6" t="n">
        <v>0</v>
      </c>
      <c r="M5" s="6" t="n">
        <v>0</v>
      </c>
      <c r="N5" s="6" t="n">
        <v>0</v>
      </c>
      <c r="O5" s="6" t="n">
        <v>1</v>
      </c>
      <c r="P5" s="6" t="n">
        <v>5128122</v>
      </c>
    </row>
    <row r="6">
      <c r="A6" t="inlineStr">
        <is>
          <t>JDE</t>
        </is>
      </c>
      <c r="B6" s="5">
        <f>B4+B5/86400</f>
        <v/>
      </c>
      <c r="E6" s="6" t="n">
        <v>2</v>
      </c>
      <c r="F6" s="6" t="n">
        <v>0</v>
      </c>
      <c r="G6" s="6" t="n">
        <v>-1</v>
      </c>
      <c r="H6" s="6" t="n">
        <v>0</v>
      </c>
      <c r="I6" s="6" t="n">
        <v>1274027</v>
      </c>
      <c r="J6" s="6" t="n">
        <v>-3699111</v>
      </c>
      <c r="L6" s="6" t="n">
        <v>0</v>
      </c>
      <c r="M6" s="6" t="n">
        <v>0</v>
      </c>
      <c r="N6" s="6" t="n">
        <v>1</v>
      </c>
      <c r="O6" s="6" t="n">
        <v>1</v>
      </c>
      <c r="P6" s="6" t="n">
        <v>280602</v>
      </c>
    </row>
    <row r="7">
      <c r="A7" t="inlineStr">
        <is>
          <t>T (abad Julian)</t>
        </is>
      </c>
      <c r="B7" s="13">
        <f>(B6-2451545)/36525</f>
        <v/>
      </c>
      <c r="E7" s="6" t="n">
        <v>2</v>
      </c>
      <c r="F7" s="6" t="n">
        <v>0</v>
      </c>
      <c r="G7" s="6" t="n">
        <v>0</v>
      </c>
      <c r="H7" s="6" t="n">
        <v>0</v>
      </c>
      <c r="I7" s="6" t="n">
        <v>658314</v>
      </c>
      <c r="J7" s="6" t="n">
        <v>-2955968</v>
      </c>
      <c r="L7" s="6" t="n">
        <v>0</v>
      </c>
      <c r="M7" s="6" t="n">
        <v>0</v>
      </c>
      <c r="N7" s="6" t="n">
        <v>1</v>
      </c>
      <c r="O7" s="6" t="n">
        <v>-1</v>
      </c>
      <c r="P7" s="6" t="n">
        <v>277693</v>
      </c>
    </row>
    <row r="8">
      <c r="E8" s="6" t="n">
        <v>0</v>
      </c>
      <c r="F8" s="6" t="n">
        <v>0</v>
      </c>
      <c r="G8" s="6" t="n">
        <v>2</v>
      </c>
      <c r="H8" s="6" t="n">
        <v>0</v>
      </c>
      <c r="I8" s="6" t="n">
        <v>213618</v>
      </c>
      <c r="J8" s="6" t="n">
        <v>-569925</v>
      </c>
      <c r="L8" s="6" t="n">
        <v>2</v>
      </c>
      <c r="M8" s="6" t="n">
        <v>0</v>
      </c>
      <c r="N8" s="6" t="n">
        <v>0</v>
      </c>
      <c r="O8" s="6" t="n">
        <v>-1</v>
      </c>
      <c r="P8" s="6" t="n">
        <v>173237</v>
      </c>
    </row>
    <row r="9">
      <c r="E9" s="6" t="n">
        <v>0</v>
      </c>
      <c r="F9" s="6" t="n">
        <v>1</v>
      </c>
      <c r="G9" s="6" t="n">
        <v>0</v>
      </c>
      <c r="H9" s="6" t="n">
        <v>0</v>
      </c>
      <c r="I9" s="6" t="n">
        <v>-185116</v>
      </c>
      <c r="J9" s="6" t="n">
        <v>48888</v>
      </c>
      <c r="L9" s="6" t="n">
        <v>2</v>
      </c>
      <c r="M9" s="6" t="n">
        <v>0</v>
      </c>
      <c r="N9" s="6" t="n">
        <v>-1</v>
      </c>
      <c r="O9" s="6" t="n">
        <v>1</v>
      </c>
      <c r="P9" s="6" t="n">
        <v>55413</v>
      </c>
    </row>
    <row r="10">
      <c r="A10" t="inlineStr">
        <is>
          <t>L' (°)</t>
        </is>
      </c>
      <c r="B10" s="5">
        <f>MOD(218.3164477+481267.88123421*B7-0.0015786*B7^2+B7^3/538841-B7^4/65194000,360)</f>
        <v/>
      </c>
      <c r="E10" s="6" t="n">
        <v>0</v>
      </c>
      <c r="F10" s="6" t="n">
        <v>0</v>
      </c>
      <c r="G10" s="6" t="n">
        <v>0</v>
      </c>
      <c r="H10" s="6" t="n">
        <v>2</v>
      </c>
      <c r="I10" s="6" t="n">
        <v>-114332</v>
      </c>
      <c r="J10" s="6" t="n">
        <v>-3149</v>
      </c>
      <c r="L10" s="6" t="n">
        <v>2</v>
      </c>
      <c r="M10" s="6" t="n">
        <v>0</v>
      </c>
      <c r="N10" s="6" t="n">
        <v>-1</v>
      </c>
      <c r="O10" s="6" t="n">
        <v>-1</v>
      </c>
      <c r="P10" s="6" t="n">
        <v>46271</v>
      </c>
    </row>
    <row r="11">
      <c r="A11" t="inlineStr">
        <is>
          <t>D (°)</t>
        </is>
      </c>
      <c r="B11" s="5">
        <f>MOD(297.8501921+445267.1114034*B7-0.0018819*B7^2+B7^3/545868-B7^4/113065000,360)</f>
        <v/>
      </c>
      <c r="E11" s="6" t="n">
        <v>2</v>
      </c>
      <c r="F11" s="6" t="n">
        <v>0</v>
      </c>
      <c r="G11" s="6" t="n">
        <v>-2</v>
      </c>
      <c r="H11" s="6" t="n">
        <v>0</v>
      </c>
      <c r="I11" s="6" t="n">
        <v>58793</v>
      </c>
      <c r="J11" s="6" t="n">
        <v>246158</v>
      </c>
      <c r="L11" s="6" t="n">
        <v>2</v>
      </c>
      <c r="M11" s="6" t="n">
        <v>0</v>
      </c>
      <c r="N11" s="6" t="n">
        <v>0</v>
      </c>
      <c r="O11" s="6" t="n">
        <v>1</v>
      </c>
      <c r="P11" s="6" t="n">
        <v>32573</v>
      </c>
    </row>
    <row r="12">
      <c r="A12" t="inlineStr">
        <is>
          <t>M (°)</t>
        </is>
      </c>
      <c r="B12" s="5">
        <f>MOD(357.5291092+35999.0502909*B7-0.0001536*B7^2+B7^3/24490000,360)</f>
        <v/>
      </c>
      <c r="E12" s="6" t="n">
        <v>2</v>
      </c>
      <c r="F12" s="6" t="n">
        <v>-1</v>
      </c>
      <c r="G12" s="6" t="n">
        <v>-1</v>
      </c>
      <c r="H12" s="6" t="n">
        <v>0</v>
      </c>
      <c r="I12" s="6" t="n">
        <v>57066</v>
      </c>
      <c r="J12" s="6" t="n">
        <v>-152138</v>
      </c>
      <c r="L12" s="6" t="n">
        <v>0</v>
      </c>
      <c r="M12" s="6" t="n">
        <v>0</v>
      </c>
      <c r="N12" s="6" t="n">
        <v>2</v>
      </c>
      <c r="O12" s="6" t="n">
        <v>1</v>
      </c>
      <c r="P12" s="6" t="n">
        <v>17198</v>
      </c>
    </row>
    <row r="13">
      <c r="A13" t="inlineStr">
        <is>
          <t>M' (°)</t>
        </is>
      </c>
      <c r="B13" s="5">
        <f>MOD(134.9633964+477198.8675055*B7+0.0087414*B7^2+B7^3/69699-B7^4/14712000,360)</f>
        <v/>
      </c>
      <c r="E13" s="6" t="n">
        <v>2</v>
      </c>
      <c r="F13" s="6" t="n">
        <v>0</v>
      </c>
      <c r="G13" s="6" t="n">
        <v>1</v>
      </c>
      <c r="H13" s="6" t="n">
        <v>0</v>
      </c>
      <c r="I13" s="6" t="n">
        <v>53322</v>
      </c>
      <c r="J13" s="6" t="n">
        <v>-170733</v>
      </c>
      <c r="L13" s="6" t="n">
        <v>2</v>
      </c>
      <c r="M13" s="6" t="n">
        <v>0</v>
      </c>
      <c r="N13" s="6" t="n">
        <v>1</v>
      </c>
      <c r="O13" s="6" t="n">
        <v>-1</v>
      </c>
      <c r="P13" s="6" t="n">
        <v>9266</v>
      </c>
    </row>
    <row r="14">
      <c r="A14" t="inlineStr">
        <is>
          <t>F (°)</t>
        </is>
      </c>
      <c r="B14" s="5">
        <f>MOD(93.272095+483202.0175233*B7-0.0036539*B7^2-B7^3/3526000+B7^4/863310000,360)</f>
        <v/>
      </c>
      <c r="E14" s="6" t="n">
        <v>2</v>
      </c>
      <c r="F14" s="6" t="n">
        <v>-1</v>
      </c>
      <c r="G14" s="6" t="n">
        <v>0</v>
      </c>
      <c r="H14" s="6" t="n">
        <v>0</v>
      </c>
      <c r="I14" s="6" t="n">
        <v>45758</v>
      </c>
      <c r="J14" s="6" t="n">
        <v>-204586</v>
      </c>
      <c r="L14" s="6" t="n">
        <v>0</v>
      </c>
      <c r="M14" s="6" t="n">
        <v>0</v>
      </c>
      <c r="N14" s="6" t="n">
        <v>2</v>
      </c>
      <c r="O14" s="6" t="n">
        <v>-1</v>
      </c>
      <c r="P14" s="6" t="n">
        <v>8822</v>
      </c>
    </row>
    <row r="15">
      <c r="A15" t="inlineStr">
        <is>
          <t>E</t>
        </is>
      </c>
      <c r="B15" s="5">
        <f>1-0.002516*B7-0.0000074*B7^2</f>
        <v/>
      </c>
      <c r="E15" s="6" t="n">
        <v>0</v>
      </c>
      <c r="F15" s="6" t="n">
        <v>1</v>
      </c>
      <c r="G15" s="6" t="n">
        <v>-1</v>
      </c>
      <c r="H15" s="6" t="n">
        <v>0</v>
      </c>
      <c r="I15" s="6" t="n">
        <v>-40923</v>
      </c>
      <c r="J15" s="6" t="n">
        <v>-129620</v>
      </c>
      <c r="L15" s="6" t="n">
        <v>2</v>
      </c>
      <c r="M15" s="6" t="n">
        <v>-1</v>
      </c>
      <c r="N15" s="6" t="n">
        <v>0</v>
      </c>
      <c r="O15" s="6" t="n">
        <v>-1</v>
      </c>
      <c r="P15" s="6" t="n">
        <v>8216</v>
      </c>
    </row>
    <row r="16">
      <c r="A16" t="inlineStr">
        <is>
          <t>A1 (°)</t>
        </is>
      </c>
      <c r="B16" s="8">
        <f>MOD(119.75+131.849*B7,360)</f>
        <v/>
      </c>
      <c r="E16" s="6" t="n">
        <v>1</v>
      </c>
      <c r="F16" s="6" t="n">
        <v>0</v>
      </c>
      <c r="G16" s="6" t="n">
        <v>0</v>
      </c>
      <c r="H16" s="6" t="n">
        <v>0</v>
      </c>
      <c r="I16" s="6" t="n">
        <v>-34720</v>
      </c>
      <c r="J16" s="6" t="n">
        <v>108743</v>
      </c>
      <c r="L16" s="6" t="n">
        <v>2</v>
      </c>
      <c r="M16" s="6" t="n">
        <v>0</v>
      </c>
      <c r="N16" s="6" t="n">
        <v>-2</v>
      </c>
      <c r="O16" s="6" t="n">
        <v>-1</v>
      </c>
      <c r="P16" s="6" t="n">
        <v>4324</v>
      </c>
    </row>
    <row r="17">
      <c r="A17" t="inlineStr">
        <is>
          <t>A2 (°)</t>
        </is>
      </c>
      <c r="B17" s="8">
        <f>MOD(53.09+479264.29*B7,360)</f>
        <v/>
      </c>
      <c r="E17" s="6" t="n">
        <v>0</v>
      </c>
      <c r="F17" s="6" t="n">
        <v>1</v>
      </c>
      <c r="G17" s="6" t="n">
        <v>1</v>
      </c>
      <c r="H17" s="6" t="n">
        <v>0</v>
      </c>
      <c r="I17" s="6" t="n">
        <v>-30383</v>
      </c>
      <c r="J17" s="6" t="n">
        <v>104755</v>
      </c>
      <c r="L17" s="6" t="n">
        <v>2</v>
      </c>
      <c r="M17" s="6" t="n">
        <v>0</v>
      </c>
      <c r="N17" s="6" t="n">
        <v>1</v>
      </c>
      <c r="O17" s="6" t="n">
        <v>1</v>
      </c>
      <c r="P17" s="6" t="n">
        <v>4200</v>
      </c>
    </row>
    <row r="18">
      <c r="A18" t="inlineStr">
        <is>
          <t>A3 (°)</t>
        </is>
      </c>
      <c r="B18" s="8">
        <f>MOD(313.45+481266.484*B7,360)</f>
        <v/>
      </c>
      <c r="E18" s="6" t="n">
        <v>2</v>
      </c>
      <c r="F18" s="6" t="n">
        <v>0</v>
      </c>
      <c r="G18" s="6" t="n">
        <v>0</v>
      </c>
      <c r="H18" s="6" t="n">
        <v>-2</v>
      </c>
      <c r="I18" s="6" t="n">
        <v>15327</v>
      </c>
      <c r="J18" s="6" t="n">
        <v>10321</v>
      </c>
      <c r="L18" s="6" t="n">
        <v>2</v>
      </c>
      <c r="M18" s="6" t="n">
        <v>1</v>
      </c>
      <c r="N18" s="6" t="n">
        <v>0</v>
      </c>
      <c r="O18" s="6" t="n">
        <v>-1</v>
      </c>
      <c r="P18" s="6" t="n">
        <v>-3359</v>
      </c>
    </row>
    <row r="19">
      <c r="E19" s="6" t="n">
        <v>0</v>
      </c>
      <c r="F19" s="6" t="n">
        <v>0</v>
      </c>
      <c r="G19" s="6" t="n">
        <v>1</v>
      </c>
      <c r="H19" s="6" t="n">
        <v>2</v>
      </c>
      <c r="I19" s="6" t="n">
        <v>-12528</v>
      </c>
      <c r="J19" s="6" t="n">
        <v>0</v>
      </c>
      <c r="L19" s="6" t="n">
        <v>2</v>
      </c>
      <c r="M19" s="6" t="n">
        <v>-1</v>
      </c>
      <c r="N19" s="6" t="n">
        <v>-1</v>
      </c>
      <c r="O19" s="6" t="n">
        <v>1</v>
      </c>
      <c r="P19" s="6" t="n">
        <v>2463</v>
      </c>
    </row>
    <row r="20">
      <c r="A20" t="inlineStr">
        <is>
          <t>Σl (10⁻⁶ °)</t>
        </is>
      </c>
      <c r="B20" s="6">
        <f>SUMPRODUCT(I5:I64,SIN(RADIANS(E5:E64*$B$11+F5:F64*$B$12+G5:G64*$B$13+H5:H64*$B$14)),$B$15^ABS(F5:F64))+3958*SIN(RADIANS(B16))+1962*SIN(RADIANS(B10-B14))+318*SIN(RADIANS(B17))</f>
        <v/>
      </c>
      <c r="E20" s="6" t="n">
        <v>0</v>
      </c>
      <c r="F20" s="6" t="n">
        <v>0</v>
      </c>
      <c r="G20" s="6" t="n">
        <v>1</v>
      </c>
      <c r="H20" s="6" t="n">
        <v>-2</v>
      </c>
      <c r="I20" s="6" t="n">
        <v>10980</v>
      </c>
      <c r="J20" s="6" t="n">
        <v>79661</v>
      </c>
      <c r="L20" s="6" t="n">
        <v>2</v>
      </c>
      <c r="M20" s="6" t="n">
        <v>-1</v>
      </c>
      <c r="N20" s="6" t="n">
        <v>0</v>
      </c>
      <c r="O20" s="6" t="n">
        <v>1</v>
      </c>
      <c r="P20" s="6" t="n">
        <v>2211</v>
      </c>
    </row>
    <row r="21">
      <c r="A21" t="inlineStr">
        <is>
          <t>Σr (10⁻³ km)</t>
        </is>
      </c>
      <c r="B21" s="6">
        <f>SUMPRODUCT(J5:J64,COS(RADIANS(E5:E64*$B$11+F5:F64*$B$12+G5:G64*$B$13+H5:H64*$B$14)),$B$15^ABS(F5:F64))</f>
        <v/>
      </c>
      <c r="E21" s="6" t="n">
        <v>4</v>
      </c>
      <c r="F21" s="6" t="n">
        <v>0</v>
      </c>
      <c r="G21" s="6" t="n">
        <v>-1</v>
      </c>
      <c r="H21" s="6" t="n">
        <v>0</v>
      </c>
      <c r="I21" s="6" t="n">
        <v>10675</v>
      </c>
      <c r="J21" s="6" t="n">
        <v>-34782</v>
      </c>
      <c r="L21" s="6" t="n">
        <v>2</v>
      </c>
      <c r="M21" s="6" t="n">
        <v>-1</v>
      </c>
      <c r="N21" s="6" t="n">
        <v>-1</v>
      </c>
      <c r="O21" s="6" t="n">
        <v>-1</v>
      </c>
      <c r="P21" s="6" t="n">
        <v>2065</v>
      </c>
    </row>
    <row r="22">
      <c r="A22" t="inlineStr">
        <is>
          <t>Σb (10⁻⁶ °)</t>
        </is>
      </c>
      <c r="B22" s="6">
        <f>SUMPRODUCT(P5:P64,SIN(RADIANS(L5:L64*$B$11+M5:M64*$B$12+N5:N64*$B$13+O5:O64*$B$14)),$B$15^ABS(M5:M64))-2235*SIN(RADIANS(B10))+382*SIN(RADIANS(B18))+175*SIN(RADIANS(B16-B14))+175*SIN(RADIANS(B16+B14))+127*SIN(RADIANS(B10-B13))-115*SIN(RADIANS(B10+B13))</f>
        <v/>
      </c>
      <c r="E22" s="6" t="n">
        <v>0</v>
      </c>
      <c r="F22" s="6" t="n">
        <v>0</v>
      </c>
      <c r="G22" s="6" t="n">
        <v>3</v>
      </c>
      <c r="H22" s="6" t="n">
        <v>0</v>
      </c>
      <c r="I22" s="6" t="n">
        <v>10034</v>
      </c>
      <c r="J22" s="6" t="n">
        <v>-23210</v>
      </c>
      <c r="L22" s="6" t="n">
        <v>0</v>
      </c>
      <c r="M22" s="6" t="n">
        <v>1</v>
      </c>
      <c r="N22" s="6" t="n">
        <v>-1</v>
      </c>
      <c r="O22" s="6" t="n">
        <v>-1</v>
      </c>
      <c r="P22" s="6" t="n">
        <v>-1870</v>
      </c>
    </row>
    <row r="23">
      <c r="E23" s="6" t="n">
        <v>4</v>
      </c>
      <c r="F23" s="6" t="n">
        <v>0</v>
      </c>
      <c r="G23" s="6" t="n">
        <v>-2</v>
      </c>
      <c r="H23" s="6" t="n">
        <v>0</v>
      </c>
      <c r="I23" s="6" t="n">
        <v>8548</v>
      </c>
      <c r="J23" s="6" t="n">
        <v>-21636</v>
      </c>
      <c r="L23" s="6" t="n">
        <v>4</v>
      </c>
      <c r="M23" s="6" t="n">
        <v>0</v>
      </c>
      <c r="N23" s="6" t="n">
        <v>-1</v>
      </c>
      <c r="O23" s="6" t="n">
        <v>-1</v>
      </c>
      <c r="P23" s="6" t="n">
        <v>1828</v>
      </c>
    </row>
    <row r="24">
      <c r="A24" t="inlineStr">
        <is>
          <t>λ geosentris (°)</t>
        </is>
      </c>
      <c r="B24" s="5">
        <f>MOD(B10+B20/1000000,360)</f>
        <v/>
      </c>
      <c r="E24" s="6" t="n">
        <v>2</v>
      </c>
      <c r="F24" s="6" t="n">
        <v>1</v>
      </c>
      <c r="G24" s="6" t="n">
        <v>-1</v>
      </c>
      <c r="H24" s="6" t="n">
        <v>0</v>
      </c>
      <c r="I24" s="6" t="n">
        <v>-7888</v>
      </c>
      <c r="J24" s="6" t="n">
        <v>24208</v>
      </c>
      <c r="L24" s="6" t="n">
        <v>0</v>
      </c>
      <c r="M24" s="6" t="n">
        <v>1</v>
      </c>
      <c r="N24" s="6" t="n">
        <v>0</v>
      </c>
      <c r="O24" s="6" t="n">
        <v>1</v>
      </c>
      <c r="P24" s="6" t="n">
        <v>-1794</v>
      </c>
    </row>
    <row r="25">
      <c r="A25" t="inlineStr">
        <is>
          <t>β (°)</t>
        </is>
      </c>
      <c r="B25" s="5">
        <f>B22/1000000</f>
        <v/>
      </c>
      <c r="E25" s="6" t="n">
        <v>2</v>
      </c>
      <c r="F25" s="6" t="n">
        <v>1</v>
      </c>
      <c r="G25" s="6" t="n">
        <v>0</v>
      </c>
      <c r="H25" s="6" t="n">
        <v>0</v>
      </c>
      <c r="I25" s="6" t="n">
        <v>-6766</v>
      </c>
      <c r="J25" s="6" t="n">
        <v>30824</v>
      </c>
      <c r="L25" s="6" t="n">
        <v>0</v>
      </c>
      <c r="M25" s="6" t="n">
        <v>0</v>
      </c>
      <c r="N25" s="6" t="n">
        <v>0</v>
      </c>
      <c r="O25" s="6" t="n">
        <v>3</v>
      </c>
      <c r="P25" s="6" t="n">
        <v>-1749</v>
      </c>
    </row>
    <row r="26">
      <c r="A26" t="inlineStr">
        <is>
          <t>Jarak Δ (km)</t>
        </is>
      </c>
      <c r="B26" s="7">
        <f>385000.56+B21/1000</f>
        <v/>
      </c>
      <c r="E26" s="6" t="n">
        <v>1</v>
      </c>
      <c r="F26" s="6" t="n">
        <v>0</v>
      </c>
      <c r="G26" s="6" t="n">
        <v>-1</v>
      </c>
      <c r="H26" s="6" t="n">
        <v>0</v>
      </c>
      <c r="I26" s="6" t="n">
        <v>-5163</v>
      </c>
      <c r="J26" s="6" t="n">
        <v>-8379</v>
      </c>
      <c r="L26" s="6" t="n">
        <v>0</v>
      </c>
      <c r="M26" s="6" t="n">
        <v>1</v>
      </c>
      <c r="N26" s="6" t="n">
        <v>-1</v>
      </c>
      <c r="O26" s="6" t="n">
        <v>1</v>
      </c>
      <c r="P26" s="6" t="n">
        <v>-1565</v>
      </c>
    </row>
    <row r="27">
      <c r="A27" t="inlineStr">
        <is>
          <t>Paralaks π (°)</t>
        </is>
      </c>
      <c r="B27" s="5">
        <f>DEGREES(ASIN(6378.14/B26))</f>
        <v/>
      </c>
      <c r="E27" s="6" t="n">
        <v>1</v>
      </c>
      <c r="F27" s="6" t="n">
        <v>1</v>
      </c>
      <c r="G27" s="6" t="n">
        <v>0</v>
      </c>
      <c r="H27" s="6" t="n">
        <v>0</v>
      </c>
      <c r="I27" s="6" t="n">
        <v>4987</v>
      </c>
      <c r="J27" s="6" t="n">
        <v>-16675</v>
      </c>
      <c r="L27" s="6" t="n">
        <v>1</v>
      </c>
      <c r="M27" s="6" t="n">
        <v>0</v>
      </c>
      <c r="N27" s="6" t="n">
        <v>0</v>
      </c>
      <c r="O27" s="6" t="n">
        <v>1</v>
      </c>
      <c r="P27" s="6" t="n">
        <v>-1491</v>
      </c>
    </row>
    <row r="28">
      <c r="A28" t="inlineStr">
        <is>
          <t>Semidiameter (°)</t>
        </is>
      </c>
      <c r="B28" s="5">
        <f>0.272481*B27</f>
        <v/>
      </c>
      <c r="E28" s="6" t="n">
        <v>2</v>
      </c>
      <c r="F28" s="6" t="n">
        <v>-1</v>
      </c>
      <c r="G28" s="6" t="n">
        <v>1</v>
      </c>
      <c r="H28" s="6" t="n">
        <v>0</v>
      </c>
      <c r="I28" s="6" t="n">
        <v>4036</v>
      </c>
      <c r="J28" s="6" t="n">
        <v>-12831</v>
      </c>
      <c r="L28" s="6" t="n">
        <v>0</v>
      </c>
      <c r="M28" s="6" t="n">
        <v>1</v>
      </c>
      <c r="N28" s="6" t="n">
        <v>1</v>
      </c>
      <c r="O28" s="6" t="n">
        <v>1</v>
      </c>
      <c r="P28" s="6" t="n">
        <v>-1475</v>
      </c>
    </row>
    <row r="29">
      <c r="E29" s="6" t="n">
        <v>2</v>
      </c>
      <c r="F29" s="6" t="n">
        <v>0</v>
      </c>
      <c r="G29" s="6" t="n">
        <v>2</v>
      </c>
      <c r="H29" s="6" t="n">
        <v>0</v>
      </c>
      <c r="I29" s="6" t="n">
        <v>3994</v>
      </c>
      <c r="J29" s="6" t="n">
        <v>-10445</v>
      </c>
      <c r="L29" s="6" t="n">
        <v>0</v>
      </c>
      <c r="M29" s="6" t="n">
        <v>1</v>
      </c>
      <c r="N29" s="6" t="n">
        <v>1</v>
      </c>
      <c r="O29" s="6" t="n">
        <v>-1</v>
      </c>
      <c r="P29" s="6" t="n">
        <v>-1410</v>
      </c>
    </row>
    <row r="30">
      <c r="A30" t="inlineStr">
        <is>
          <t>Ω (°)</t>
        </is>
      </c>
      <c r="B30" s="8">
        <f>125.04452-1934.136261*B7</f>
        <v/>
      </c>
      <c r="E30" s="6" t="n">
        <v>4</v>
      </c>
      <c r="F30" s="6" t="n">
        <v>0</v>
      </c>
      <c r="G30" s="6" t="n">
        <v>0</v>
      </c>
      <c r="H30" s="6" t="n">
        <v>0</v>
      </c>
      <c r="I30" s="6" t="n">
        <v>3861</v>
      </c>
      <c r="J30" s="6" t="n">
        <v>-11650</v>
      </c>
      <c r="L30" s="6" t="n">
        <v>0</v>
      </c>
      <c r="M30" s="6" t="n">
        <v>1</v>
      </c>
      <c r="N30" s="6" t="n">
        <v>0</v>
      </c>
      <c r="O30" s="6" t="n">
        <v>-1</v>
      </c>
      <c r="P30" s="6" t="n">
        <v>-1344</v>
      </c>
    </row>
    <row r="31">
      <c r="A31" t="inlineStr">
        <is>
          <t>Δψ (°)</t>
        </is>
      </c>
      <c r="B31" s="5">
        <f>(-17.2*SIN(RADIANS(B30))-1.32*SIN(RADIANS(2*(280.4665+36000.7698*B7)))-0.23*SIN(RADIANS(2*(218.3165+481267.8813*B7)))+0.21*SIN(RADIANS(2*B30)))/3600</f>
        <v/>
      </c>
      <c r="E31" s="6" t="n">
        <v>2</v>
      </c>
      <c r="F31" s="6" t="n">
        <v>0</v>
      </c>
      <c r="G31" s="6" t="n">
        <v>-3</v>
      </c>
      <c r="H31" s="6" t="n">
        <v>0</v>
      </c>
      <c r="I31" s="6" t="n">
        <v>3665</v>
      </c>
      <c r="J31" s="6" t="n">
        <v>14403</v>
      </c>
      <c r="L31" s="6" t="n">
        <v>1</v>
      </c>
      <c r="M31" s="6" t="n">
        <v>0</v>
      </c>
      <c r="N31" s="6" t="n">
        <v>0</v>
      </c>
      <c r="O31" s="6" t="n">
        <v>-1</v>
      </c>
      <c r="P31" s="6" t="n">
        <v>-1335</v>
      </c>
    </row>
    <row r="32">
      <c r="A32" t="inlineStr">
        <is>
          <t>ε (°)</t>
        </is>
      </c>
      <c r="B32" s="5">
        <f>23+26/60+(21.448-46.815*B7)/3600+(9.2*COS(RADIANS(B30))+0.57*COS(RADIANS(2*(280.4665+36000.7698*B7))))/3600</f>
        <v/>
      </c>
      <c r="E32" s="6" t="n">
        <v>0</v>
      </c>
      <c r="F32" s="6" t="n">
        <v>1</v>
      </c>
      <c r="G32" s="6" t="n">
        <v>-2</v>
      </c>
      <c r="H32" s="6" t="n">
        <v>0</v>
      </c>
      <c r="I32" s="6" t="n">
        <v>-2689</v>
      </c>
      <c r="J32" s="6" t="n">
        <v>-7003</v>
      </c>
      <c r="L32" s="6" t="n">
        <v>0</v>
      </c>
      <c r="M32" s="6" t="n">
        <v>0</v>
      </c>
      <c r="N32" s="6" t="n">
        <v>3</v>
      </c>
      <c r="O32" s="6" t="n">
        <v>1</v>
      </c>
      <c r="P32" s="6" t="n">
        <v>1107</v>
      </c>
    </row>
    <row r="33">
      <c r="A33" t="inlineStr">
        <is>
          <t>λ tampak (°)</t>
        </is>
      </c>
      <c r="B33" s="5">
        <f>B24+B31</f>
        <v/>
      </c>
      <c r="E33" s="6" t="n">
        <v>2</v>
      </c>
      <c r="F33" s="6" t="n">
        <v>0</v>
      </c>
      <c r="G33" s="6" t="n">
        <v>-1</v>
      </c>
      <c r="H33" s="6" t="n">
        <v>2</v>
      </c>
      <c r="I33" s="6" t="n">
        <v>-2602</v>
      </c>
      <c r="J33" s="6" t="n">
        <v>0</v>
      </c>
      <c r="L33" s="6" t="n">
        <v>4</v>
      </c>
      <c r="M33" s="6" t="n">
        <v>0</v>
      </c>
      <c r="N33" s="6" t="n">
        <v>0</v>
      </c>
      <c r="O33" s="6" t="n">
        <v>-1</v>
      </c>
      <c r="P33" s="6" t="n">
        <v>1021</v>
      </c>
    </row>
    <row r="34">
      <c r="A34" t="inlineStr">
        <is>
          <t>α (°)</t>
        </is>
      </c>
      <c r="B34" s="5">
        <f>MOD(DEGREES(ATAN2(COS(RADIANS(B33)),SIN(RADIANS(B33))*COS(RADIANS(B32))-TAN(RADIANS(B25))*SIN(RADIANS(B32)))),360)</f>
        <v/>
      </c>
      <c r="E34" s="6" t="n">
        <v>2</v>
      </c>
      <c r="F34" s="6" t="n">
        <v>-1</v>
      </c>
      <c r="G34" s="6" t="n">
        <v>-2</v>
      </c>
      <c r="H34" s="6" t="n">
        <v>0</v>
      </c>
      <c r="I34" s="6" t="n">
        <v>2390</v>
      </c>
      <c r="J34" s="6" t="n">
        <v>10056</v>
      </c>
      <c r="L34" s="6" t="n">
        <v>4</v>
      </c>
      <c r="M34" s="6" t="n">
        <v>0</v>
      </c>
      <c r="N34" s="6" t="n">
        <v>-1</v>
      </c>
      <c r="O34" s="6" t="n">
        <v>1</v>
      </c>
      <c r="P34" s="6" t="n">
        <v>833</v>
      </c>
    </row>
    <row r="35">
      <c r="A35" t="inlineStr">
        <is>
          <t>δ (°)</t>
        </is>
      </c>
      <c r="B35" s="5">
        <f>DEGREES(ASIN(SIN(RADIANS(B25))*COS(RADIANS(B32))+COS(RADIANS(B25))*SIN(RADIANS(B32))*SIN(RADIANS(B33))))</f>
        <v/>
      </c>
      <c r="E35" s="6" t="n">
        <v>1</v>
      </c>
      <c r="F35" s="6" t="n">
        <v>0</v>
      </c>
      <c r="G35" s="6" t="n">
        <v>1</v>
      </c>
      <c r="H35" s="6" t="n">
        <v>0</v>
      </c>
      <c r="I35" s="6" t="n">
        <v>-2348</v>
      </c>
      <c r="J35" s="6" t="n">
        <v>6322</v>
      </c>
      <c r="L35" s="6" t="n">
        <v>0</v>
      </c>
      <c r="M35" s="6" t="n">
        <v>0</v>
      </c>
      <c r="N35" s="6" t="n">
        <v>1</v>
      </c>
      <c r="O35" s="6" t="n">
        <v>-3</v>
      </c>
      <c r="P35" s="6" t="n">
        <v>777</v>
      </c>
    </row>
    <row r="36">
      <c r="E36" s="6" t="n">
        <v>2</v>
      </c>
      <c r="F36" s="6" t="n">
        <v>-2</v>
      </c>
      <c r="G36" s="6" t="n">
        <v>0</v>
      </c>
      <c r="H36" s="6" t="n">
        <v>0</v>
      </c>
      <c r="I36" s="6" t="n">
        <v>2236</v>
      </c>
      <c r="J36" s="6" t="n">
        <v>-9884</v>
      </c>
      <c r="L36" s="6" t="n">
        <v>4</v>
      </c>
      <c r="M36" s="6" t="n">
        <v>0</v>
      </c>
      <c r="N36" s="6" t="n">
        <v>-2</v>
      </c>
      <c r="O36" s="6" t="n">
        <v>1</v>
      </c>
      <c r="P36" s="6" t="n">
        <v>671</v>
      </c>
    </row>
    <row r="37">
      <c r="E37" s="6" t="n">
        <v>0</v>
      </c>
      <c r="F37" s="6" t="n">
        <v>1</v>
      </c>
      <c r="G37" s="6" t="n">
        <v>2</v>
      </c>
      <c r="H37" s="6" t="n">
        <v>0</v>
      </c>
      <c r="I37" s="6" t="n">
        <v>-2120</v>
      </c>
      <c r="J37" s="6" t="n">
        <v>5751</v>
      </c>
      <c r="L37" s="6" t="n">
        <v>2</v>
      </c>
      <c r="M37" s="6" t="n">
        <v>0</v>
      </c>
      <c r="N37" s="6" t="n">
        <v>0</v>
      </c>
      <c r="O37" s="6" t="n">
        <v>-3</v>
      </c>
      <c r="P37" s="6" t="n">
        <v>607</v>
      </c>
    </row>
    <row r="38">
      <c r="E38" s="6" t="n">
        <v>0</v>
      </c>
      <c r="F38" s="6" t="n">
        <v>2</v>
      </c>
      <c r="G38" s="6" t="n">
        <v>0</v>
      </c>
      <c r="H38" s="6" t="n">
        <v>0</v>
      </c>
      <c r="I38" s="6" t="n">
        <v>-2069</v>
      </c>
      <c r="J38" s="6" t="n">
        <v>0</v>
      </c>
      <c r="L38" s="6" t="n">
        <v>2</v>
      </c>
      <c r="M38" s="6" t="n">
        <v>0</v>
      </c>
      <c r="N38" s="6" t="n">
        <v>2</v>
      </c>
      <c r="O38" s="6" t="n">
        <v>-1</v>
      </c>
      <c r="P38" s="6" t="n">
        <v>596</v>
      </c>
    </row>
    <row r="39">
      <c r="E39" s="6" t="n">
        <v>2</v>
      </c>
      <c r="F39" s="6" t="n">
        <v>-2</v>
      </c>
      <c r="G39" s="6" t="n">
        <v>-1</v>
      </c>
      <c r="H39" s="6" t="n">
        <v>0</v>
      </c>
      <c r="I39" s="6" t="n">
        <v>2048</v>
      </c>
      <c r="J39" s="6" t="n">
        <v>-4950</v>
      </c>
      <c r="L39" s="6" t="n">
        <v>2</v>
      </c>
      <c r="M39" s="6" t="n">
        <v>-1</v>
      </c>
      <c r="N39" s="6" t="n">
        <v>1</v>
      </c>
      <c r="O39" s="6" t="n">
        <v>-1</v>
      </c>
      <c r="P39" s="6" t="n">
        <v>491</v>
      </c>
    </row>
    <row r="40">
      <c r="E40" s="6" t="n">
        <v>2</v>
      </c>
      <c r="F40" s="6" t="n">
        <v>0</v>
      </c>
      <c r="G40" s="6" t="n">
        <v>1</v>
      </c>
      <c r="H40" s="6" t="n">
        <v>-2</v>
      </c>
      <c r="I40" s="6" t="n">
        <v>-1773</v>
      </c>
      <c r="J40" s="6" t="n">
        <v>4130</v>
      </c>
      <c r="L40" s="6" t="n">
        <v>2</v>
      </c>
      <c r="M40" s="6" t="n">
        <v>0</v>
      </c>
      <c r="N40" s="6" t="n">
        <v>-2</v>
      </c>
      <c r="O40" s="6" t="n">
        <v>1</v>
      </c>
      <c r="P40" s="6" t="n">
        <v>-451</v>
      </c>
    </row>
    <row r="41">
      <c r="E41" s="6" t="n">
        <v>2</v>
      </c>
      <c r="F41" s="6" t="n">
        <v>0</v>
      </c>
      <c r="G41" s="6" t="n">
        <v>0</v>
      </c>
      <c r="H41" s="6" t="n">
        <v>2</v>
      </c>
      <c r="I41" s="6" t="n">
        <v>-1595</v>
      </c>
      <c r="J41" s="6" t="n">
        <v>0</v>
      </c>
      <c r="L41" s="6" t="n">
        <v>0</v>
      </c>
      <c r="M41" s="6" t="n">
        <v>0</v>
      </c>
      <c r="N41" s="6" t="n">
        <v>3</v>
      </c>
      <c r="O41" s="6" t="n">
        <v>-1</v>
      </c>
      <c r="P41" s="6" t="n">
        <v>439</v>
      </c>
    </row>
    <row r="42">
      <c r="E42" s="6" t="n">
        <v>4</v>
      </c>
      <c r="F42" s="6" t="n">
        <v>-1</v>
      </c>
      <c r="G42" s="6" t="n">
        <v>-1</v>
      </c>
      <c r="H42" s="6" t="n">
        <v>0</v>
      </c>
      <c r="I42" s="6" t="n">
        <v>1215</v>
      </c>
      <c r="J42" s="6" t="n">
        <v>-3958</v>
      </c>
      <c r="L42" s="6" t="n">
        <v>2</v>
      </c>
      <c r="M42" s="6" t="n">
        <v>0</v>
      </c>
      <c r="N42" s="6" t="n">
        <v>2</v>
      </c>
      <c r="O42" s="6" t="n">
        <v>1</v>
      </c>
      <c r="P42" s="6" t="n">
        <v>422</v>
      </c>
    </row>
    <row r="43">
      <c r="E43" s="6" t="n">
        <v>0</v>
      </c>
      <c r="F43" s="6" t="n">
        <v>0</v>
      </c>
      <c r="G43" s="6" t="n">
        <v>2</v>
      </c>
      <c r="H43" s="6" t="n">
        <v>2</v>
      </c>
      <c r="I43" s="6" t="n">
        <v>-1110</v>
      </c>
      <c r="J43" s="6" t="n">
        <v>0</v>
      </c>
      <c r="L43" s="6" t="n">
        <v>2</v>
      </c>
      <c r="M43" s="6" t="n">
        <v>0</v>
      </c>
      <c r="N43" s="6" t="n">
        <v>-3</v>
      </c>
      <c r="O43" s="6" t="n">
        <v>-1</v>
      </c>
      <c r="P43" s="6" t="n">
        <v>421</v>
      </c>
    </row>
    <row r="44">
      <c r="E44" s="6" t="n">
        <v>3</v>
      </c>
      <c r="F44" s="6" t="n">
        <v>0</v>
      </c>
      <c r="G44" s="6" t="n">
        <v>-1</v>
      </c>
      <c r="H44" s="6" t="n">
        <v>0</v>
      </c>
      <c r="I44" s="6" t="n">
        <v>-892</v>
      </c>
      <c r="J44" s="6" t="n">
        <v>3258</v>
      </c>
      <c r="L44" s="6" t="n">
        <v>2</v>
      </c>
      <c r="M44" s="6" t="n">
        <v>1</v>
      </c>
      <c r="N44" s="6" t="n">
        <v>-1</v>
      </c>
      <c r="O44" s="6" t="n">
        <v>1</v>
      </c>
      <c r="P44" s="6" t="n">
        <v>-366</v>
      </c>
    </row>
    <row r="45">
      <c r="E45" s="6" t="n">
        <v>2</v>
      </c>
      <c r="F45" s="6" t="n">
        <v>1</v>
      </c>
      <c r="G45" s="6" t="n">
        <v>1</v>
      </c>
      <c r="H45" s="6" t="n">
        <v>0</v>
      </c>
      <c r="I45" s="6" t="n">
        <v>-810</v>
      </c>
      <c r="J45" s="6" t="n">
        <v>2616</v>
      </c>
      <c r="L45" s="6" t="n">
        <v>2</v>
      </c>
      <c r="M45" s="6" t="n">
        <v>1</v>
      </c>
      <c r="N45" s="6" t="n">
        <v>0</v>
      </c>
      <c r="O45" s="6" t="n">
        <v>1</v>
      </c>
      <c r="P45" s="6" t="n">
        <v>-351</v>
      </c>
    </row>
    <row r="46">
      <c r="E46" s="6" t="n">
        <v>4</v>
      </c>
      <c r="F46" s="6" t="n">
        <v>-1</v>
      </c>
      <c r="G46" s="6" t="n">
        <v>-2</v>
      </c>
      <c r="H46" s="6" t="n">
        <v>0</v>
      </c>
      <c r="I46" s="6" t="n">
        <v>759</v>
      </c>
      <c r="J46" s="6" t="n">
        <v>-1897</v>
      </c>
      <c r="L46" s="6" t="n">
        <v>4</v>
      </c>
      <c r="M46" s="6" t="n">
        <v>0</v>
      </c>
      <c r="N46" s="6" t="n">
        <v>0</v>
      </c>
      <c r="O46" s="6" t="n">
        <v>1</v>
      </c>
      <c r="P46" s="6" t="n">
        <v>331</v>
      </c>
    </row>
    <row r="47">
      <c r="E47" s="6" t="n">
        <v>0</v>
      </c>
      <c r="F47" s="6" t="n">
        <v>2</v>
      </c>
      <c r="G47" s="6" t="n">
        <v>-1</v>
      </c>
      <c r="H47" s="6" t="n">
        <v>0</v>
      </c>
      <c r="I47" s="6" t="n">
        <v>-713</v>
      </c>
      <c r="J47" s="6" t="n">
        <v>-2117</v>
      </c>
      <c r="L47" s="6" t="n">
        <v>2</v>
      </c>
      <c r="M47" s="6" t="n">
        <v>-1</v>
      </c>
      <c r="N47" s="6" t="n">
        <v>1</v>
      </c>
      <c r="O47" s="6" t="n">
        <v>1</v>
      </c>
      <c r="P47" s="6" t="n">
        <v>315</v>
      </c>
    </row>
    <row r="48">
      <c r="E48" s="6" t="n">
        <v>2</v>
      </c>
      <c r="F48" s="6" t="n">
        <v>2</v>
      </c>
      <c r="G48" s="6" t="n">
        <v>-1</v>
      </c>
      <c r="H48" s="6" t="n">
        <v>0</v>
      </c>
      <c r="I48" s="6" t="n">
        <v>-700</v>
      </c>
      <c r="J48" s="6" t="n">
        <v>2354</v>
      </c>
      <c r="L48" s="6" t="n">
        <v>2</v>
      </c>
      <c r="M48" s="6" t="n">
        <v>-2</v>
      </c>
      <c r="N48" s="6" t="n">
        <v>0</v>
      </c>
      <c r="O48" s="6" t="n">
        <v>-1</v>
      </c>
      <c r="P48" s="6" t="n">
        <v>302</v>
      </c>
    </row>
    <row r="49">
      <c r="E49" s="6" t="n">
        <v>2</v>
      </c>
      <c r="F49" s="6" t="n">
        <v>1</v>
      </c>
      <c r="G49" s="6" t="n">
        <v>-2</v>
      </c>
      <c r="H49" s="6" t="n">
        <v>0</v>
      </c>
      <c r="I49" s="6" t="n">
        <v>691</v>
      </c>
      <c r="J49" s="6" t="n">
        <v>0</v>
      </c>
      <c r="L49" s="6" t="n">
        <v>0</v>
      </c>
      <c r="M49" s="6" t="n">
        <v>0</v>
      </c>
      <c r="N49" s="6" t="n">
        <v>1</v>
      </c>
      <c r="O49" s="6" t="n">
        <v>3</v>
      </c>
      <c r="P49" s="6" t="n">
        <v>-283</v>
      </c>
    </row>
    <row r="50">
      <c r="E50" s="6" t="n">
        <v>2</v>
      </c>
      <c r="F50" s="6" t="n">
        <v>-1</v>
      </c>
      <c r="G50" s="6" t="n">
        <v>0</v>
      </c>
      <c r="H50" s="6" t="n">
        <v>-2</v>
      </c>
      <c r="I50" s="6" t="n">
        <v>596</v>
      </c>
      <c r="J50" s="6" t="n">
        <v>0</v>
      </c>
      <c r="L50" s="6" t="n">
        <v>2</v>
      </c>
      <c r="M50" s="6" t="n">
        <v>1</v>
      </c>
      <c r="N50" s="6" t="n">
        <v>1</v>
      </c>
      <c r="O50" s="6" t="n">
        <v>-1</v>
      </c>
      <c r="P50" s="6" t="n">
        <v>-229</v>
      </c>
    </row>
    <row r="51">
      <c r="E51" s="6" t="n">
        <v>4</v>
      </c>
      <c r="F51" s="6" t="n">
        <v>0</v>
      </c>
      <c r="G51" s="6" t="n">
        <v>1</v>
      </c>
      <c r="H51" s="6" t="n">
        <v>0</v>
      </c>
      <c r="I51" s="6" t="n">
        <v>549</v>
      </c>
      <c r="J51" s="6" t="n">
        <v>-1423</v>
      </c>
      <c r="L51" s="6" t="n">
        <v>1</v>
      </c>
      <c r="M51" s="6" t="n">
        <v>1</v>
      </c>
      <c r="N51" s="6" t="n">
        <v>0</v>
      </c>
      <c r="O51" s="6" t="n">
        <v>-1</v>
      </c>
      <c r="P51" s="6" t="n">
        <v>223</v>
      </c>
    </row>
    <row r="52">
      <c r="E52" s="6" t="n">
        <v>0</v>
      </c>
      <c r="F52" s="6" t="n">
        <v>0</v>
      </c>
      <c r="G52" s="6" t="n">
        <v>4</v>
      </c>
      <c r="H52" s="6" t="n">
        <v>0</v>
      </c>
      <c r="I52" s="6" t="n">
        <v>537</v>
      </c>
      <c r="J52" s="6" t="n">
        <v>-1117</v>
      </c>
      <c r="L52" s="6" t="n">
        <v>1</v>
      </c>
      <c r="M52" s="6" t="n">
        <v>1</v>
      </c>
      <c r="N52" s="6" t="n">
        <v>0</v>
      </c>
      <c r="O52" s="6" t="n">
        <v>1</v>
      </c>
      <c r="P52" s="6" t="n">
        <v>223</v>
      </c>
    </row>
    <row r="53">
      <c r="E53" s="6" t="n">
        <v>4</v>
      </c>
      <c r="F53" s="6" t="n">
        <v>-1</v>
      </c>
      <c r="G53" s="6" t="n">
        <v>0</v>
      </c>
      <c r="H53" s="6" t="n">
        <v>0</v>
      </c>
      <c r="I53" s="6" t="n">
        <v>520</v>
      </c>
      <c r="J53" s="6" t="n">
        <v>-1571</v>
      </c>
      <c r="L53" s="6" t="n">
        <v>0</v>
      </c>
      <c r="M53" s="6" t="n">
        <v>1</v>
      </c>
      <c r="N53" s="6" t="n">
        <v>-2</v>
      </c>
      <c r="O53" s="6" t="n">
        <v>-1</v>
      </c>
      <c r="P53" s="6" t="n">
        <v>-220</v>
      </c>
    </row>
    <row r="54">
      <c r="E54" s="6" t="n">
        <v>1</v>
      </c>
      <c r="F54" s="6" t="n">
        <v>0</v>
      </c>
      <c r="G54" s="6" t="n">
        <v>-2</v>
      </c>
      <c r="H54" s="6" t="n">
        <v>0</v>
      </c>
      <c r="I54" s="6" t="n">
        <v>-487</v>
      </c>
      <c r="J54" s="6" t="n">
        <v>-1739</v>
      </c>
      <c r="L54" s="6" t="n">
        <v>2</v>
      </c>
      <c r="M54" s="6" t="n">
        <v>1</v>
      </c>
      <c r="N54" s="6" t="n">
        <v>-1</v>
      </c>
      <c r="O54" s="6" t="n">
        <v>-1</v>
      </c>
      <c r="P54" s="6" t="n">
        <v>-220</v>
      </c>
    </row>
    <row r="55">
      <c r="E55" s="6" t="n">
        <v>2</v>
      </c>
      <c r="F55" s="6" t="n">
        <v>1</v>
      </c>
      <c r="G55" s="6" t="n">
        <v>0</v>
      </c>
      <c r="H55" s="6" t="n">
        <v>-2</v>
      </c>
      <c r="I55" s="6" t="n">
        <v>-399</v>
      </c>
      <c r="J55" s="6" t="n">
        <v>0</v>
      </c>
      <c r="L55" s="6" t="n">
        <v>1</v>
      </c>
      <c r="M55" s="6" t="n">
        <v>0</v>
      </c>
      <c r="N55" s="6" t="n">
        <v>1</v>
      </c>
      <c r="O55" s="6" t="n">
        <v>1</v>
      </c>
      <c r="P55" s="6" t="n">
        <v>-185</v>
      </c>
    </row>
    <row r="56">
      <c r="E56" s="6" t="n">
        <v>0</v>
      </c>
      <c r="F56" s="6" t="n">
        <v>0</v>
      </c>
      <c r="G56" s="6" t="n">
        <v>2</v>
      </c>
      <c r="H56" s="6" t="n">
        <v>-2</v>
      </c>
      <c r="I56" s="6" t="n">
        <v>-381</v>
      </c>
      <c r="J56" s="6" t="n">
        <v>-4421</v>
      </c>
      <c r="L56" s="6" t="n">
        <v>2</v>
      </c>
      <c r="M56" s="6" t="n">
        <v>-1</v>
      </c>
      <c r="N56" s="6" t="n">
        <v>-2</v>
      </c>
      <c r="O56" s="6" t="n">
        <v>-1</v>
      </c>
      <c r="P56" s="6" t="n">
        <v>181</v>
      </c>
    </row>
    <row r="57">
      <c r="E57" s="6" t="n">
        <v>1</v>
      </c>
      <c r="F57" s="6" t="n">
        <v>1</v>
      </c>
      <c r="G57" s="6" t="n">
        <v>1</v>
      </c>
      <c r="H57" s="6" t="n">
        <v>0</v>
      </c>
      <c r="I57" s="6" t="n">
        <v>351</v>
      </c>
      <c r="J57" s="6" t="n">
        <v>0</v>
      </c>
      <c r="L57" s="6" t="n">
        <v>0</v>
      </c>
      <c r="M57" s="6" t="n">
        <v>1</v>
      </c>
      <c r="N57" s="6" t="n">
        <v>2</v>
      </c>
      <c r="O57" s="6" t="n">
        <v>1</v>
      </c>
      <c r="P57" s="6" t="n">
        <v>-177</v>
      </c>
    </row>
    <row r="58">
      <c r="E58" s="6" t="n">
        <v>3</v>
      </c>
      <c r="F58" s="6" t="n">
        <v>0</v>
      </c>
      <c r="G58" s="6" t="n">
        <v>-2</v>
      </c>
      <c r="H58" s="6" t="n">
        <v>0</v>
      </c>
      <c r="I58" s="6" t="n">
        <v>-340</v>
      </c>
      <c r="J58" s="6" t="n">
        <v>0</v>
      </c>
      <c r="L58" s="6" t="n">
        <v>4</v>
      </c>
      <c r="M58" s="6" t="n">
        <v>0</v>
      </c>
      <c r="N58" s="6" t="n">
        <v>-2</v>
      </c>
      <c r="O58" s="6" t="n">
        <v>-1</v>
      </c>
      <c r="P58" s="6" t="n">
        <v>176</v>
      </c>
    </row>
    <row r="59">
      <c r="E59" s="6" t="n">
        <v>4</v>
      </c>
      <c r="F59" s="6" t="n">
        <v>0</v>
      </c>
      <c r="G59" s="6" t="n">
        <v>-3</v>
      </c>
      <c r="H59" s="6" t="n">
        <v>0</v>
      </c>
      <c r="I59" s="6" t="n">
        <v>330</v>
      </c>
      <c r="J59" s="6" t="n">
        <v>0</v>
      </c>
      <c r="L59" s="6" t="n">
        <v>4</v>
      </c>
      <c r="M59" s="6" t="n">
        <v>-1</v>
      </c>
      <c r="N59" s="6" t="n">
        <v>-1</v>
      </c>
      <c r="O59" s="6" t="n">
        <v>-1</v>
      </c>
      <c r="P59" s="6" t="n">
        <v>166</v>
      </c>
    </row>
    <row r="60">
      <c r="E60" s="6" t="n">
        <v>2</v>
      </c>
      <c r="F60" s="6" t="n">
        <v>-1</v>
      </c>
      <c r="G60" s="6" t="n">
        <v>2</v>
      </c>
      <c r="H60" s="6" t="n">
        <v>0</v>
      </c>
      <c r="I60" s="6" t="n">
        <v>327</v>
      </c>
      <c r="J60" s="6" t="n">
        <v>0</v>
      </c>
      <c r="L60" s="6" t="n">
        <v>1</v>
      </c>
      <c r="M60" s="6" t="n">
        <v>0</v>
      </c>
      <c r="N60" s="6" t="n">
        <v>1</v>
      </c>
      <c r="O60" s="6" t="n">
        <v>-1</v>
      </c>
      <c r="P60" s="6" t="n">
        <v>-164</v>
      </c>
    </row>
    <row r="61">
      <c r="E61" s="6" t="n">
        <v>0</v>
      </c>
      <c r="F61" s="6" t="n">
        <v>2</v>
      </c>
      <c r="G61" s="6" t="n">
        <v>1</v>
      </c>
      <c r="H61" s="6" t="n">
        <v>0</v>
      </c>
      <c r="I61" s="6" t="n">
        <v>-323</v>
      </c>
      <c r="J61" s="6" t="n">
        <v>1165</v>
      </c>
      <c r="L61" s="6" t="n">
        <v>4</v>
      </c>
      <c r="M61" s="6" t="n">
        <v>0</v>
      </c>
      <c r="N61" s="6" t="n">
        <v>1</v>
      </c>
      <c r="O61" s="6" t="n">
        <v>-1</v>
      </c>
      <c r="P61" s="6" t="n">
        <v>132</v>
      </c>
    </row>
    <row r="62">
      <c r="E62" s="6" t="n">
        <v>1</v>
      </c>
      <c r="F62" s="6" t="n">
        <v>1</v>
      </c>
      <c r="G62" s="6" t="n">
        <v>-1</v>
      </c>
      <c r="H62" s="6" t="n">
        <v>0</v>
      </c>
      <c r="I62" s="6" t="n">
        <v>299</v>
      </c>
      <c r="J62" s="6" t="n">
        <v>0</v>
      </c>
      <c r="L62" s="6" t="n">
        <v>1</v>
      </c>
      <c r="M62" s="6" t="n">
        <v>0</v>
      </c>
      <c r="N62" s="6" t="n">
        <v>-1</v>
      </c>
      <c r="O62" s="6" t="n">
        <v>-1</v>
      </c>
      <c r="P62" s="6" t="n">
        <v>-119</v>
      </c>
    </row>
    <row r="63">
      <c r="E63" s="6" t="n">
        <v>2</v>
      </c>
      <c r="F63" s="6" t="n">
        <v>0</v>
      </c>
      <c r="G63" s="6" t="n">
        <v>3</v>
      </c>
      <c r="H63" s="6" t="n">
        <v>0</v>
      </c>
      <c r="I63" s="6" t="n">
        <v>294</v>
      </c>
      <c r="J63" s="6" t="n">
        <v>0</v>
      </c>
      <c r="L63" s="6" t="n">
        <v>4</v>
      </c>
      <c r="M63" s="6" t="n">
        <v>-1</v>
      </c>
      <c r="N63" s="6" t="n">
        <v>0</v>
      </c>
      <c r="O63" s="6" t="n">
        <v>-1</v>
      </c>
      <c r="P63" s="6" t="n">
        <v>115</v>
      </c>
    </row>
    <row r="64">
      <c r="E64" s="6" t="n">
        <v>2</v>
      </c>
      <c r="F64" s="6" t="n">
        <v>0</v>
      </c>
      <c r="G64" s="6" t="n">
        <v>-1</v>
      </c>
      <c r="H64" s="6" t="n">
        <v>-2</v>
      </c>
      <c r="I64" s="6" t="n">
        <v>0</v>
      </c>
      <c r="J64" s="6" t="n">
        <v>8752</v>
      </c>
      <c r="L64" s="6" t="n">
        <v>2</v>
      </c>
      <c r="M64" s="6" t="n">
        <v>-2</v>
      </c>
      <c r="N64" s="6" t="n">
        <v>0</v>
      </c>
      <c r="O64" s="6" t="n">
        <v>1</v>
      </c>
      <c r="P64" s="6" t="n">
        <v>107</v>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outlineLevelCol="0"/>
  <cols>
    <col width="38" customWidth="1" min="1" max="1"/>
    <col width="22" customWidth="1" min="2" max="2"/>
  </cols>
  <sheetData>
    <row r="1">
      <c r="A1" s="1" t="inlineStr">
        <is>
          <t>KoreksiHilal</t>
        </is>
      </c>
      <c r="B1" t="inlineStr">
        <is>
          <t>Tangga koreksi tinggi hilal: paralaks, refraksi, semidiameter, kerendahan ufuk.</t>
        </is>
      </c>
    </row>
    <row r="2" ht="36" customHeight="1">
      <c r="A2" s="24" t="inlineStr">
        <is>
          <t>Sumber rumus: Paralaks dari jarak Bulan; refraksi Sæmundsson (1986); kerendahan ufuk 1,76′√H. Ketelitian: Baik untuk udara standar; refraksi nyata dekat ufuk bisa berbeda 0,1°–0,5°.</t>
        </is>
      </c>
    </row>
    <row r="3">
      <c r="A3" s="2" t="inlineStr">
        <is>
          <t>Masukan</t>
        </is>
      </c>
      <c r="B3" s="2" t="inlineStr">
        <is>
          <t>Nilai</t>
        </is>
      </c>
    </row>
    <row r="4">
      <c r="A4" t="inlineStr">
        <is>
          <t>Tinggi geosentris pusat Bulan (°)</t>
        </is>
      </c>
      <c r="B4" s="14" t="n">
        <v>3.21</v>
      </c>
    </row>
    <row r="5">
      <c r="A5" t="inlineStr">
        <is>
          <t>Jarak Bumi–Bulan (km)</t>
        </is>
      </c>
      <c r="B5" s="12" t="n">
        <v>405254.8</v>
      </c>
    </row>
    <row r="6">
      <c r="A6" t="inlineStr">
        <is>
          <t>Suhu udara (°C)</t>
        </is>
      </c>
      <c r="B6" s="3" t="n">
        <v>10</v>
      </c>
    </row>
    <row r="7">
      <c r="A7" t="inlineStr">
        <is>
          <t>Tekanan udara (mbar)</t>
        </is>
      </c>
      <c r="B7" s="3" t="n">
        <v>1010</v>
      </c>
    </row>
    <row r="8">
      <c r="A8" t="inlineStr">
        <is>
          <t>Tinggi mata di atas ufuk (m)</t>
        </is>
      </c>
      <c r="B8" s="3" t="n">
        <v>700</v>
      </c>
    </row>
    <row r="10">
      <c r="A10" t="inlineStr">
        <is>
          <t>Paralaks horizontal π (°)</t>
        </is>
      </c>
      <c r="B10" s="8">
        <f>DEGREES(ASIN(6378.14/B5))</f>
        <v/>
      </c>
    </row>
    <row r="11">
      <c r="A11" t="inlineStr">
        <is>
          <t>Tinggi toposentris (°)</t>
        </is>
      </c>
      <c r="B11" s="8">
        <f>DEGREES(ATAN((SIN(RADIANS(B4))-SIN(RADIANS(B10)))/COS(RADIANS(B4))))</f>
        <v/>
      </c>
    </row>
    <row r="12">
      <c r="A12" t="inlineStr">
        <is>
          <t>Paralaks dalam tinggi (°)</t>
        </is>
      </c>
      <c r="B12" s="8">
        <f>B4-B11</f>
        <v/>
      </c>
    </row>
    <row r="13">
      <c r="A13" t="inlineStr">
        <is>
          <t>Refraksi (°)</t>
        </is>
      </c>
      <c r="B13" s="8">
        <f>1.02/TAN(RADIANS(B11+10.3/(B11+5.11)))/60*B7/1010*283/(273+B6)</f>
        <v/>
      </c>
    </row>
    <row r="14">
      <c r="A14" t="inlineStr">
        <is>
          <t>Semidiameter toposentris (°)</t>
        </is>
      </c>
      <c r="B14" s="8">
        <f>0.272481*B10*(1+SIN(RADIANS(B11))*SIN(RADIANS(B10)))</f>
        <v/>
      </c>
    </row>
    <row r="15">
      <c r="A15" t="inlineStr">
        <is>
          <t>Kerendahan ufuk (°)</t>
        </is>
      </c>
      <c r="B15" s="8">
        <f>1.76*SQRT(B8)/60</f>
        <v/>
      </c>
    </row>
    <row r="17">
      <c r="A17" t="inlineStr">
        <is>
          <t>Tinggi tampak pusat Bulan (°)</t>
        </is>
      </c>
      <c r="B17" s="8">
        <f>B11+B13</f>
        <v/>
      </c>
    </row>
    <row r="18">
      <c r="A18" t="inlineStr">
        <is>
          <t>Tinggi tampak piringan atas (°)</t>
        </is>
      </c>
      <c r="B18" s="8">
        <f>B17+B14</f>
        <v/>
      </c>
    </row>
    <row r="19">
      <c r="A19" t="inlineStr">
        <is>
          <t>Tinggi mar'i piringan atas (°)</t>
        </is>
      </c>
      <c r="B19" s="8">
        <f>B18+B15</f>
        <v/>
      </c>
    </row>
  </sheetData>
  <mergeCells count="1">
    <mergeCell ref="A2:B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outlineLevelCol="0"/>
  <cols>
    <col width="38" customWidth="1" min="1" max="1"/>
    <col width="22" customWidth="1" min="2" max="2"/>
    <col width="13" customWidth="1" min="3" max="3"/>
    <col width="13" customWidth="1" min="4" max="4"/>
    <col width="13" customWidth="1" min="5" max="5"/>
    <col width="13" customWidth="1" min="6" max="6"/>
  </cols>
  <sheetData>
    <row r="1">
      <c r="A1" s="1" t="inlineStr">
        <is>
          <t>Ijtimak</t>
        </is>
      </c>
      <c r="B1" t="inlineStr">
        <is>
          <t>Saat ijtimak dengan metode Meeus (rata-rata + 25 suku periodik + 14 suku planet).</t>
        </is>
      </c>
    </row>
    <row r="2" ht="24" customHeight="1">
      <c r="A2" s="24" t="inlineStr">
        <is>
          <t>Sumber rumus: Meeus (1998, bab 49): ijtimak rata-rata + 25 suku periodik + 14 suku planet. Ketelitian: Contoh Syawal 1447 H berselisih 7 detik dari BMKG.</t>
        </is>
      </c>
    </row>
    <row r="3">
      <c r="A3" s="2" t="inlineStr">
        <is>
          <t>Masukan</t>
        </is>
      </c>
      <c r="B3" s="2" t="inlineStr">
        <is>
          <t>Nilai</t>
        </is>
      </c>
    </row>
    <row r="4">
      <c r="A4" t="inlineStr">
        <is>
          <t>Tahun desimal</t>
        </is>
      </c>
      <c r="B4" s="4" t="n">
        <v>2026.94</v>
      </c>
      <c r="E4" t="inlineStr">
        <is>
          <t>Koef.</t>
        </is>
      </c>
      <c r="F4" t="inlineStr">
        <is>
          <t>Pangkat E</t>
        </is>
      </c>
      <c r="G4" t="inlineStr">
        <is>
          <t>M</t>
        </is>
      </c>
      <c r="H4" t="inlineStr">
        <is>
          <t>M'</t>
        </is>
      </c>
      <c r="I4" t="inlineStr">
        <is>
          <t>F</t>
        </is>
      </c>
      <c r="J4" t="inlineStr">
        <is>
          <t>Ω</t>
        </is>
      </c>
      <c r="L4" t="inlineStr">
        <is>
          <t>A₀ (°)</t>
        </is>
      </c>
      <c r="M4" t="inlineStr">
        <is>
          <t>A₁ (°/k)</t>
        </is>
      </c>
      <c r="N4" t="inlineStr">
        <is>
          <t>Amplitudo (10⁻⁶ hari)</t>
        </is>
      </c>
    </row>
    <row r="5">
      <c r="A5" t="inlineStr">
        <is>
          <t>ΔT (detik)</t>
        </is>
      </c>
      <c r="B5" s="12" t="n">
        <v>69.3</v>
      </c>
      <c r="E5" t="n">
        <v>-0.4072</v>
      </c>
      <c r="F5" t="n">
        <v>0</v>
      </c>
      <c r="G5" t="n">
        <v>0</v>
      </c>
      <c r="H5" t="n">
        <v>1</v>
      </c>
      <c r="I5" t="n">
        <v>0</v>
      </c>
      <c r="J5" t="n">
        <v>0</v>
      </c>
      <c r="L5" t="n">
        <v>299.77</v>
      </c>
      <c r="M5" t="n">
        <v>0.107408</v>
      </c>
      <c r="N5" t="n">
        <v>325</v>
      </c>
    </row>
    <row r="6">
      <c r="A6" t="inlineStr">
        <is>
          <t>Zona waktu (UTC+)</t>
        </is>
      </c>
      <c r="B6" s="3" t="n">
        <v>7</v>
      </c>
      <c r="E6" t="n">
        <v>0.17241</v>
      </c>
      <c r="F6" t="n">
        <v>1</v>
      </c>
      <c r="G6" t="n">
        <v>1</v>
      </c>
      <c r="H6" t="n">
        <v>0</v>
      </c>
      <c r="I6" t="n">
        <v>0</v>
      </c>
      <c r="J6" t="n">
        <v>0</v>
      </c>
      <c r="L6" t="n">
        <v>251.88</v>
      </c>
      <c r="M6" t="n">
        <v>0.016321</v>
      </c>
      <c r="N6" t="n">
        <v>165</v>
      </c>
    </row>
    <row r="7">
      <c r="E7" t="n">
        <v>0.01608</v>
      </c>
      <c r="F7" t="n">
        <v>0</v>
      </c>
      <c r="G7" t="n">
        <v>0</v>
      </c>
      <c r="H7" t="n">
        <v>2</v>
      </c>
      <c r="I7" t="n">
        <v>0</v>
      </c>
      <c r="J7" t="n">
        <v>0</v>
      </c>
      <c r="L7" t="n">
        <v>251.83</v>
      </c>
      <c r="M7" t="n">
        <v>26.651886</v>
      </c>
      <c r="N7" t="n">
        <v>164</v>
      </c>
    </row>
    <row r="8">
      <c r="A8" t="inlineStr">
        <is>
          <t>k (nomor lunasi)</t>
        </is>
      </c>
      <c r="B8" s="6">
        <f>ROUND((B4-2000)*12.3685,0)</f>
        <v/>
      </c>
      <c r="E8" t="n">
        <v>0.01039</v>
      </c>
      <c r="F8" t="n">
        <v>0</v>
      </c>
      <c r="G8" t="n">
        <v>0</v>
      </c>
      <c r="H8" t="n">
        <v>0</v>
      </c>
      <c r="I8" t="n">
        <v>2</v>
      </c>
      <c r="J8" t="n">
        <v>0</v>
      </c>
      <c r="L8" t="n">
        <v>349.42</v>
      </c>
      <c r="M8" t="n">
        <v>36.412478</v>
      </c>
      <c r="N8" t="n">
        <v>126</v>
      </c>
    </row>
    <row r="9">
      <c r="A9" t="inlineStr">
        <is>
          <t>T</t>
        </is>
      </c>
      <c r="B9" s="5">
        <f>B8/1236.85</f>
        <v/>
      </c>
      <c r="E9" t="n">
        <v>0.00739</v>
      </c>
      <c r="F9" t="n">
        <v>1</v>
      </c>
      <c r="G9" t="n">
        <v>-1</v>
      </c>
      <c r="H9" t="n">
        <v>1</v>
      </c>
      <c r="I9" t="n">
        <v>0</v>
      </c>
      <c r="J9" t="n">
        <v>0</v>
      </c>
      <c r="L9" t="n">
        <v>84.66</v>
      </c>
      <c r="M9" t="n">
        <v>18.206239</v>
      </c>
      <c r="N9" t="n">
        <v>110</v>
      </c>
    </row>
    <row r="10">
      <c r="A10" t="inlineStr">
        <is>
          <t>JDE₀ (ijtimak rata-rata)</t>
        </is>
      </c>
      <c r="B10" s="15">
        <f>2451550.09766+29.530588861*B8+0.00015437*B9^2-0.00000015*B9^3+0.00000000073*B9^4</f>
        <v/>
      </c>
      <c r="E10" t="n">
        <v>-0.00514</v>
      </c>
      <c r="F10" t="n">
        <v>1</v>
      </c>
      <c r="G10" t="n">
        <v>1</v>
      </c>
      <c r="H10" t="n">
        <v>1</v>
      </c>
      <c r="I10" t="n">
        <v>0</v>
      </c>
      <c r="J10" t="n">
        <v>0</v>
      </c>
      <c r="L10" t="n">
        <v>141.74</v>
      </c>
      <c r="M10" t="n">
        <v>53.303771</v>
      </c>
      <c r="N10" t="n">
        <v>62</v>
      </c>
    </row>
    <row r="11">
      <c r="A11" t="inlineStr">
        <is>
          <t>E</t>
        </is>
      </c>
      <c r="B11" s="5">
        <f>1-0.002516*B9-0.0000074*B9^2</f>
        <v/>
      </c>
      <c r="E11" t="n">
        <v>0.00208</v>
      </c>
      <c r="F11" t="n">
        <v>2</v>
      </c>
      <c r="G11" t="n">
        <v>2</v>
      </c>
      <c r="H11" t="n">
        <v>0</v>
      </c>
      <c r="I11" t="n">
        <v>0</v>
      </c>
      <c r="J11" t="n">
        <v>0</v>
      </c>
      <c r="L11" t="n">
        <v>207.14</v>
      </c>
      <c r="M11" t="n">
        <v>2.453732</v>
      </c>
      <c r="N11" t="n">
        <v>60</v>
      </c>
    </row>
    <row r="12">
      <c r="A12" t="inlineStr">
        <is>
          <t>M (°)</t>
        </is>
      </c>
      <c r="B12" s="8">
        <f>MOD(2.5534+29.1053567*B8-0.0000014*B9^2-0.00000011*B9^3,360)</f>
        <v/>
      </c>
      <c r="E12" t="n">
        <v>-0.00111</v>
      </c>
      <c r="F12" t="n">
        <v>0</v>
      </c>
      <c r="G12" t="n">
        <v>0</v>
      </c>
      <c r="H12" t="n">
        <v>1</v>
      </c>
      <c r="I12" t="n">
        <v>-2</v>
      </c>
      <c r="J12" t="n">
        <v>0</v>
      </c>
      <c r="L12" t="n">
        <v>154.84</v>
      </c>
      <c r="M12" t="n">
        <v>7.30686</v>
      </c>
      <c r="N12" t="n">
        <v>56</v>
      </c>
    </row>
    <row r="13">
      <c r="A13" t="inlineStr">
        <is>
          <t>M' (°)</t>
        </is>
      </c>
      <c r="B13" s="8">
        <f>MOD(201.5643+385.81693528*B8+0.0107582*B9^2+0.00001238*B9^3-0.000000058*B9^4,360)</f>
        <v/>
      </c>
      <c r="E13" t="n">
        <v>-0.00057</v>
      </c>
      <c r="F13" t="n">
        <v>0</v>
      </c>
      <c r="G13" t="n">
        <v>0</v>
      </c>
      <c r="H13" t="n">
        <v>1</v>
      </c>
      <c r="I13" t="n">
        <v>2</v>
      </c>
      <c r="J13" t="n">
        <v>0</v>
      </c>
      <c r="L13" t="n">
        <v>34.52</v>
      </c>
      <c r="M13" t="n">
        <v>27.261239</v>
      </c>
      <c r="N13" t="n">
        <v>47</v>
      </c>
    </row>
    <row r="14">
      <c r="A14" t="inlineStr">
        <is>
          <t>F (°)</t>
        </is>
      </c>
      <c r="B14" s="8">
        <f>MOD(160.7108+390.67050284*B8-0.0016118*B9^2-0.00000227*B9^3+0.000000011*B9^4,360)</f>
        <v/>
      </c>
      <c r="E14" t="n">
        <v>0.00056</v>
      </c>
      <c r="F14" t="n">
        <v>1</v>
      </c>
      <c r="G14" t="n">
        <v>1</v>
      </c>
      <c r="H14" t="n">
        <v>2</v>
      </c>
      <c r="I14" t="n">
        <v>0</v>
      </c>
      <c r="J14" t="n">
        <v>0</v>
      </c>
      <c r="L14" t="n">
        <v>207.19</v>
      </c>
      <c r="M14" t="n">
        <v>0.121824</v>
      </c>
      <c r="N14" t="n">
        <v>42</v>
      </c>
    </row>
    <row r="15">
      <c r="A15" t="inlineStr">
        <is>
          <t>Ω (°)</t>
        </is>
      </c>
      <c r="B15" s="8">
        <f>MOD(124.7746-1.56375588*B8+0.0020672*B9^2+0.00000215*B9^3,360)</f>
        <v/>
      </c>
      <c r="E15" t="n">
        <v>-0.00042</v>
      </c>
      <c r="F15" t="n">
        <v>0</v>
      </c>
      <c r="G15" t="n">
        <v>0</v>
      </c>
      <c r="H15" t="n">
        <v>3</v>
      </c>
      <c r="I15" t="n">
        <v>0</v>
      </c>
      <c r="J15" t="n">
        <v>0</v>
      </c>
      <c r="L15" t="n">
        <v>291.34</v>
      </c>
      <c r="M15" t="n">
        <v>1.844379</v>
      </c>
      <c r="N15" t="n">
        <v>40</v>
      </c>
    </row>
    <row r="16">
      <c r="A16" t="inlineStr">
        <is>
          <t>Δ₁ suku periodik (hari)</t>
        </is>
      </c>
      <c r="B16" s="15">
        <f>SUMPRODUCT(E5:E29,$B$11^F5:F29,SIN(RADIANS(G5:G29*$B$12+H5:H29*$B$13+I5:I29*$B$14+J5:J29*$B$15)))</f>
        <v/>
      </c>
      <c r="E16" t="n">
        <v>0.00042</v>
      </c>
      <c r="F16" t="n">
        <v>1</v>
      </c>
      <c r="G16" t="n">
        <v>1</v>
      </c>
      <c r="H16" t="n">
        <v>0</v>
      </c>
      <c r="I16" t="n">
        <v>2</v>
      </c>
      <c r="J16" t="n">
        <v>0</v>
      </c>
      <c r="L16" t="n">
        <v>161.72</v>
      </c>
      <c r="M16" t="n">
        <v>24.198154</v>
      </c>
      <c r="N16" t="n">
        <v>37</v>
      </c>
    </row>
    <row r="17">
      <c r="A17" t="inlineStr">
        <is>
          <t>Δ₂ suku planet (hari)</t>
        </is>
      </c>
      <c r="B17" s="15">
        <f>SUMPRODUCT(N5:N18,SIN(RADIANS(L5:L18+M5:M18*$B$8)))/1000000</f>
        <v/>
      </c>
      <c r="E17" t="n">
        <v>0.00038</v>
      </c>
      <c r="F17" t="n">
        <v>1</v>
      </c>
      <c r="G17" t="n">
        <v>1</v>
      </c>
      <c r="H17" t="n">
        <v>0</v>
      </c>
      <c r="I17" t="n">
        <v>-2</v>
      </c>
      <c r="J17" t="n">
        <v>0</v>
      </c>
      <c r="L17" t="n">
        <v>239.56</v>
      </c>
      <c r="M17" t="n">
        <v>25.513099</v>
      </c>
      <c r="N17" t="n">
        <v>35</v>
      </c>
    </row>
    <row r="18">
      <c r="A18" t="inlineStr">
        <is>
          <t>JDE ijtimak</t>
        </is>
      </c>
      <c r="B18" s="15">
        <f>B10+B16+B17</f>
        <v/>
      </c>
      <c r="E18" t="n">
        <v>-0.00024</v>
      </c>
      <c r="F18" t="n">
        <v>1</v>
      </c>
      <c r="G18" t="n">
        <v>-1</v>
      </c>
      <c r="H18" t="n">
        <v>2</v>
      </c>
      <c r="I18" t="n">
        <v>0</v>
      </c>
      <c r="J18" t="n">
        <v>0</v>
      </c>
      <c r="L18" t="n">
        <v>331.55</v>
      </c>
      <c r="M18" t="n">
        <v>3.592518</v>
      </c>
      <c r="N18" t="n">
        <v>23</v>
      </c>
    </row>
    <row r="19">
      <c r="A19" t="inlineStr">
        <is>
          <t>JD ijtimak (UT)</t>
        </is>
      </c>
      <c r="B19" s="15">
        <f>B18-B5/86400</f>
        <v/>
      </c>
      <c r="E19" t="n">
        <v>-0.00017</v>
      </c>
      <c r="F19" t="n">
        <v>0</v>
      </c>
      <c r="G19" t="n">
        <v>0</v>
      </c>
      <c r="H19" t="n">
        <v>0</v>
      </c>
      <c r="I19" t="n">
        <v>0</v>
      </c>
      <c r="J19" t="n">
        <v>1</v>
      </c>
    </row>
    <row r="20">
      <c r="A20" t="inlineStr">
        <is>
          <t>Ijtimak (waktu daerah)</t>
        </is>
      </c>
      <c r="B20" s="16">
        <f>B19-2415018.5+B6/24</f>
        <v/>
      </c>
      <c r="E20" t="n">
        <v>-6.999999999999999e-05</v>
      </c>
      <c r="F20" t="n">
        <v>0</v>
      </c>
      <c r="G20" t="n">
        <v>2</v>
      </c>
      <c r="H20" t="n">
        <v>1</v>
      </c>
      <c r="I20" t="n">
        <v>0</v>
      </c>
      <c r="J20" t="n">
        <v>0</v>
      </c>
    </row>
    <row r="21">
      <c r="E21" t="n">
        <v>4e-05</v>
      </c>
      <c r="F21" t="n">
        <v>0</v>
      </c>
      <c r="G21" t="n">
        <v>0</v>
      </c>
      <c r="H21" t="n">
        <v>2</v>
      </c>
      <c r="I21" t="n">
        <v>-2</v>
      </c>
      <c r="J21" t="n">
        <v>0</v>
      </c>
    </row>
    <row r="22">
      <c r="A22" s="2" t="inlineStr">
        <is>
          <t>Bantu: tahun desimal dari bulan Hijriyah</t>
        </is>
      </c>
      <c r="B22" s="2" t="inlineStr">
        <is>
          <t>Nilai</t>
        </is>
      </c>
      <c r="E22" t="n">
        <v>4e-05</v>
      </c>
      <c r="F22" t="n">
        <v>0</v>
      </c>
      <c r="G22" t="n">
        <v>3</v>
      </c>
      <c r="H22" t="n">
        <v>0</v>
      </c>
      <c r="I22" t="n">
        <v>0</v>
      </c>
      <c r="J22" t="n">
        <v>0</v>
      </c>
    </row>
    <row r="23">
      <c r="A23" t="inlineStr">
        <is>
          <t>Tahun Hijriyah</t>
        </is>
      </c>
      <c r="B23" s="3" t="n">
        <v>1448</v>
      </c>
      <c r="E23" t="n">
        <v>3e-05</v>
      </c>
      <c r="F23" t="n">
        <v>0</v>
      </c>
      <c r="G23" t="n">
        <v>1</v>
      </c>
      <c r="H23" t="n">
        <v>1</v>
      </c>
      <c r="I23" t="n">
        <v>-2</v>
      </c>
      <c r="J23" t="n">
        <v>0</v>
      </c>
    </row>
    <row r="24">
      <c r="A24" t="inlineStr">
        <is>
          <t>Bulan Hijriyah (1 = Muharam, …, 12 = Zulhijah)</t>
        </is>
      </c>
      <c r="B24" s="3" t="n">
        <v>7</v>
      </c>
      <c r="E24" t="n">
        <v>3e-05</v>
      </c>
      <c r="F24" t="n">
        <v>0</v>
      </c>
      <c r="G24" t="n">
        <v>0</v>
      </c>
      <c r="H24" t="n">
        <v>2</v>
      </c>
      <c r="I24" t="n">
        <v>2</v>
      </c>
      <c r="J24" t="n">
        <v>0</v>
      </c>
    </row>
    <row r="25">
      <c r="A25" t="inlineStr">
        <is>
          <t>k untuk ijtimak sebelum bulan itu</t>
        </is>
      </c>
      <c r="B25" s="6">
        <f>12*(B23-1420)+B24-10</f>
        <v/>
      </c>
      <c r="E25" t="n">
        <v>-3e-05</v>
      </c>
      <c r="F25" t="n">
        <v>0</v>
      </c>
      <c r="G25" t="n">
        <v>1</v>
      </c>
      <c r="H25" t="n">
        <v>1</v>
      </c>
      <c r="I25" t="n">
        <v>2</v>
      </c>
      <c r="J25" t="n">
        <v>0</v>
      </c>
    </row>
    <row r="26">
      <c r="A26" t="inlineStr">
        <is>
          <t>Tahun desimal untuk B4</t>
        </is>
      </c>
      <c r="B26" s="8">
        <f>2000+B25/12.3685</f>
        <v/>
      </c>
      <c r="E26" t="n">
        <v>3e-05</v>
      </c>
      <c r="F26" t="n">
        <v>0</v>
      </c>
      <c r="G26" t="n">
        <v>-1</v>
      </c>
      <c r="H26" t="n">
        <v>1</v>
      </c>
      <c r="I26" t="n">
        <v>2</v>
      </c>
      <c r="J26" t="n">
        <v>0</v>
      </c>
    </row>
    <row r="27">
      <c r="E27" t="n">
        <v>-2e-05</v>
      </c>
      <c r="F27" t="n">
        <v>0</v>
      </c>
      <c r="G27" t="n">
        <v>-1</v>
      </c>
      <c r="H27" t="n">
        <v>1</v>
      </c>
      <c r="I27" t="n">
        <v>-2</v>
      </c>
      <c r="J27" t="n">
        <v>0</v>
      </c>
    </row>
    <row r="28">
      <c r="E28" t="n">
        <v>-2e-05</v>
      </c>
      <c r="F28" t="n">
        <v>0</v>
      </c>
      <c r="G28" t="n">
        <v>1</v>
      </c>
      <c r="H28" t="n">
        <v>3</v>
      </c>
      <c r="I28" t="n">
        <v>0</v>
      </c>
      <c r="J28" t="n">
        <v>0</v>
      </c>
    </row>
    <row r="29">
      <c r="E29" t="n">
        <v>2e-05</v>
      </c>
      <c r="F29" t="n">
        <v>0</v>
      </c>
      <c r="G29" t="n">
        <v>0</v>
      </c>
      <c r="H29" t="n">
        <v>4</v>
      </c>
      <c r="I29" t="n">
        <v>0</v>
      </c>
      <c r="J29" t="n">
        <v>0</v>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outlineLevelCol="0"/>
  <cols>
    <col width="38" customWidth="1" min="1" max="1"/>
    <col width="22" customWidth="1" min="2" max="2"/>
  </cols>
  <sheetData>
    <row r="1">
      <c r="A1" s="1" t="inlineStr">
        <is>
          <t>Urfi</t>
        </is>
      </c>
      <c r="B1" t="inlineStr">
        <is>
          <t>Konversi tanggal Hijriyah urfi ke Julian Day dan tanggal Masehi.</t>
        </is>
      </c>
    </row>
    <row r="2" ht="36" customHeight="1">
      <c r="A2" s="24" t="inlineStr">
        <is>
          <t>Sumber rumus: Kalender Hijriyah tabular (siklus 30 tahun, 11 kabisat, pola II) dari tradisi zij Islam. Ketelitian: Pasti; tanggal urfi bisa berbeda 1–2 hari dari awal bulan sebenarnya.</t>
        </is>
      </c>
    </row>
    <row r="3">
      <c r="A3" s="2" t="inlineStr">
        <is>
          <t>Masukan</t>
        </is>
      </c>
      <c r="B3" s="2" t="inlineStr">
        <is>
          <t>Nilai</t>
        </is>
      </c>
    </row>
    <row r="4">
      <c r="A4" t="inlineStr">
        <is>
          <t>Tahun Hijriyah (H)</t>
        </is>
      </c>
      <c r="B4" s="3" t="n">
        <v>1448</v>
      </c>
    </row>
    <row r="5">
      <c r="A5" t="inlineStr">
        <is>
          <t>Bulan Hijriyah (B)</t>
        </is>
      </c>
      <c r="B5" s="3" t="n">
        <v>9</v>
      </c>
    </row>
    <row r="6">
      <c r="A6" t="inlineStr">
        <is>
          <t>Tanggal (T)</t>
        </is>
      </c>
      <c r="B6" s="3" t="n">
        <v>1</v>
      </c>
    </row>
    <row r="8">
      <c r="A8" t="inlineStr">
        <is>
          <t>Kabisat?</t>
        </is>
      </c>
      <c r="B8">
        <f>IF(MOD(14+11*B4,30)&lt;11,"kabisat (355 hari)","basithah (354 hari)")</f>
        <v/>
      </c>
    </row>
    <row r="9">
      <c r="A9" t="inlineStr">
        <is>
          <t>Hari tahun-tahun sebelumnya</t>
        </is>
      </c>
      <c r="B9" s="6">
        <f>354*(B4-1)+INT((3+11*B4)/30)</f>
        <v/>
      </c>
    </row>
    <row r="10">
      <c r="A10" t="inlineStr">
        <is>
          <t>Hari bulan-bulan sebelumnya</t>
        </is>
      </c>
      <c r="B10" s="6">
        <f>29*(B5-1)+INT(B5/2)</f>
        <v/>
      </c>
    </row>
    <row r="11">
      <c r="A11" t="inlineStr">
        <is>
          <t>JD (00.00 UT)</t>
        </is>
      </c>
      <c r="B11" s="7">
        <f>1948439.5+B9+B10+B6-1</f>
        <v/>
      </c>
    </row>
    <row r="12">
      <c r="A12" t="inlineStr">
        <is>
          <t>Tanggal Masehi</t>
        </is>
      </c>
      <c r="B12" s="17">
        <f>B11-2415018.5</f>
        <v/>
      </c>
    </row>
    <row r="13">
      <c r="A13" t="inlineStr">
        <is>
          <t>Hari</t>
        </is>
      </c>
      <c r="B13">
        <f>CHOOSE(MOD(INT(B11+1.5),7)+1,"Ahad","Senin","Selasa","Rabu","Kamis","Jumat","Sabtu")</f>
        <v/>
      </c>
    </row>
    <row r="14">
      <c r="A14" t="inlineStr">
        <is>
          <t>Pasaran</t>
        </is>
      </c>
      <c r="B14">
        <f>CHOOSE(MOD(INT(B11+0.5),5)+1,"Legi","Pahing","Pon","Wage","Kliwon")</f>
        <v/>
      </c>
    </row>
    <row r="15">
      <c r="A15" t="inlineStr">
        <is>
          <t>Umur bulan ini (hari)</t>
        </is>
      </c>
      <c r="B15" s="6">
        <f>IF(MOD(B5,2)=1,30,IF(AND(B5=12,MOD(14+11*B4,30)&lt;11),30,29))</f>
        <v/>
      </c>
    </row>
  </sheetData>
  <mergeCells count="1">
    <mergeCell ref="A2: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outlineLevelCol="0"/>
  <cols>
    <col width="38" customWidth="1" min="1" max="1"/>
    <col width="22" customWidth="1" min="2" max="2"/>
  </cols>
  <sheetData>
    <row r="1">
      <c r="A1" s="1" t="inlineStr">
        <is>
          <t>DataHilal</t>
        </is>
      </c>
      <c r="B1" t="inlineStr">
        <is>
          <t>Data hilal saat Matahari terbenam: Matahari (NOAA) + Bulan (sheet Bulan) + ijtimak (sheet Ijtimak).</t>
        </is>
      </c>
    </row>
    <row r="2" ht="48" customHeight="1">
      <c r="A2" s="24" t="inlineStr">
        <is>
          <t>Sumber rumus: Matahari: algoritma NOAA (Meeus 1998, bab 25); Bulan: sheet Bulan; paralaks dan kerendahan ufuk. Ketelitian: Terbenam Matahari 1 detik, terbenam Bulan 6 detik, elongasi di bawah 0,05° dari BMKG.</t>
        </is>
      </c>
    </row>
    <row r="3">
      <c r="A3" s="2" t="inlineStr">
        <is>
          <t>Masukan</t>
        </is>
      </c>
      <c r="B3" s="2" t="inlineStr">
        <is>
          <t>Nilai</t>
        </is>
      </c>
    </row>
    <row r="4">
      <c r="A4" t="inlineStr">
        <is>
          <t>Lintang φ (°)</t>
        </is>
      </c>
      <c r="B4" s="14" t="n">
        <v>-6.9312</v>
      </c>
    </row>
    <row r="5">
      <c r="A5" t="inlineStr">
        <is>
          <t>Bujur λ (°)</t>
        </is>
      </c>
      <c r="B5" s="14" t="n">
        <v>107.7175</v>
      </c>
    </row>
    <row r="6">
      <c r="A6" t="inlineStr">
        <is>
          <t>Tinggi tempat (m)</t>
        </is>
      </c>
      <c r="B6" s="3" t="n">
        <v>700</v>
      </c>
    </row>
    <row r="7">
      <c r="A7" t="inlineStr">
        <is>
          <t>Zona waktu (UTC+)</t>
        </is>
      </c>
      <c r="B7" s="3" t="n">
        <v>7</v>
      </c>
    </row>
    <row r="8">
      <c r="A8" t="inlineStr">
        <is>
          <t>Tahun</t>
        </is>
      </c>
      <c r="B8" s="3" t="n">
        <v>2026</v>
      </c>
    </row>
    <row r="9">
      <c r="A9" t="inlineStr">
        <is>
          <t>Bulan</t>
        </is>
      </c>
      <c r="B9" s="3" t="n">
        <v>12</v>
      </c>
    </row>
    <row r="10">
      <c r="A10" t="inlineStr">
        <is>
          <t>Tanggal</t>
        </is>
      </c>
      <c r="B10" s="3" t="n">
        <v>9</v>
      </c>
    </row>
    <row r="11">
      <c r="A11" t="inlineStr">
        <is>
          <t>ΔT (detik)</t>
        </is>
      </c>
      <c r="B11" s="12" t="n">
        <v>69.3</v>
      </c>
    </row>
    <row r="13">
      <c r="A13" t="inlineStr">
        <is>
          <t>JD 00.00 waktu lokal</t>
        </is>
      </c>
      <c r="B13" s="15">
        <f>DATE(B8,B9,B10)+2415018.5-B7/24</f>
        <v/>
      </c>
    </row>
    <row r="14">
      <c r="A14" t="inlineStr">
        <is>
          <t>Perkiraan terbenam (jam lokal)</t>
        </is>
      </c>
      <c r="B14" s="4" t="n">
        <v>18</v>
      </c>
    </row>
    <row r="15">
      <c r="A15" t="inlineStr">
        <is>
          <t>JD perkiraan</t>
        </is>
      </c>
      <c r="B15" s="15">
        <f>B13+B14/24</f>
        <v/>
      </c>
    </row>
    <row r="16">
      <c r="A16" t="inlineStr">
        <is>
          <t>T</t>
        </is>
      </c>
      <c r="B16" s="13">
        <f>(B15+B11/86400-2451545)/36525</f>
        <v/>
      </c>
    </row>
    <row r="17">
      <c r="A17" t="inlineStr">
        <is>
          <t>L₀ Matahari (°)</t>
        </is>
      </c>
      <c r="B17" s="5">
        <f>MOD(280.46646+36000.76983*B16+0.0003032*B16^2,360)</f>
        <v/>
      </c>
    </row>
    <row r="18">
      <c r="A18" t="inlineStr">
        <is>
          <t>M Matahari (°)</t>
        </is>
      </c>
      <c r="B18" s="5">
        <f>357.52911+35999.05029*B16-0.0001537*B16^2</f>
        <v/>
      </c>
    </row>
    <row r="19">
      <c r="A19" t="inlineStr">
        <is>
          <t>e orbit Bumi</t>
        </is>
      </c>
      <c r="B19" s="13">
        <f>0.016708634-0.000042037*B16</f>
        <v/>
      </c>
    </row>
    <row r="20">
      <c r="A20" t="inlineStr">
        <is>
          <t>C (°)</t>
        </is>
      </c>
      <c r="B20" s="5">
        <f>SIN(RADIANS(B18))*(1.914602-0.004817*B16)+SIN(RADIANS(2*B18))*(0.019993-0.000101*B16)+0.000289*SIN(RADIANS(3*B18))</f>
        <v/>
      </c>
    </row>
    <row r="21">
      <c r="A21" t="inlineStr">
        <is>
          <t>λ☉ tampak (°)</t>
        </is>
      </c>
      <c r="B21" s="5">
        <f>B17+B20-0.00569-0.00478*SIN(RADIANS(125.04-1934.136*B16))</f>
        <v/>
      </c>
    </row>
    <row r="22">
      <c r="A22" t="inlineStr">
        <is>
          <t>ε (°)</t>
        </is>
      </c>
      <c r="B22" s="5">
        <f>23.439291-0.0130042*B16+0.00256*COS(RADIANS(125.04-1934.136*B16))</f>
        <v/>
      </c>
    </row>
    <row r="23">
      <c r="A23" t="inlineStr">
        <is>
          <t>δ☉ (°)</t>
        </is>
      </c>
      <c r="B23" s="5">
        <f>DEGREES(ASIN(SIN(RADIANS(B22))*SIN(RADIANS(B21))))</f>
        <v/>
      </c>
    </row>
    <row r="24">
      <c r="A24" t="inlineStr">
        <is>
          <t>α☉ (°)</t>
        </is>
      </c>
      <c r="B24" s="5">
        <f>MOD(DEGREES(ATAN2(COS(RADIANS(B21)),COS(RADIANS(B22))*SIN(RADIANS(B21)))),360)</f>
        <v/>
      </c>
    </row>
    <row r="25">
      <c r="A25" t="inlineStr">
        <is>
          <t>R (au)</t>
        </is>
      </c>
      <c r="B25" s="5">
        <f>1.000001018*(1-B19^2)/(1+B19*COS(RADIANS(B18+B20)))</f>
        <v/>
      </c>
    </row>
    <row r="26">
      <c r="A26" t="inlineStr">
        <is>
          <t>y</t>
        </is>
      </c>
      <c r="B26" s="5">
        <f>TAN(RADIANS(B22/2))^2</f>
        <v/>
      </c>
    </row>
    <row r="27">
      <c r="A27" t="inlineStr">
        <is>
          <t>Perata waktu (menit)</t>
        </is>
      </c>
      <c r="B27" s="8">
        <f>4*DEGREES(B26*SIN(2*RADIANS(B17))-2*B19*SIN(RADIANS(B18))+4*B19*B26*SIN(RADIANS(B18))*COS(2*RADIANS(B17))-0.5*B26^2*SIN(4*RADIANS(B17))-1.25*B19^2*SIN(2*RADIANS(B18)))</f>
        <v/>
      </c>
    </row>
    <row r="28">
      <c r="A28" t="inlineStr">
        <is>
          <t>h₀ Matahari (°)</t>
        </is>
      </c>
      <c r="B28" s="8">
        <f>-(0.2666/B25+34/60+1.76*SQRT(B6)/60)</f>
        <v/>
      </c>
    </row>
    <row r="29">
      <c r="A29" t="inlineStr">
        <is>
          <t>t₀ (°)</t>
        </is>
      </c>
      <c r="B29" s="8">
        <f>DEGREES(ACOS((SIN(RADIANS(B28))-SIN(RADIANS(B4))*SIN(RADIANS(B23)))/(COS(RADIANS(B4))*COS(RADIANS(B23)))))</f>
        <v/>
      </c>
    </row>
    <row r="30">
      <c r="A30" t="inlineStr">
        <is>
          <t>Matahari terbenam (jam lokal)</t>
        </is>
      </c>
      <c r="B30" s="5">
        <f>12-B27/60+(B7*15-B5)/15+B29/15</f>
        <v/>
      </c>
    </row>
    <row r="31">
      <c r="A31" t="inlineStr">
        <is>
          <t>JD Matahari terbenam (UT)</t>
        </is>
      </c>
      <c r="B31" s="5">
        <f>B13+B30/24</f>
        <v/>
      </c>
    </row>
    <row r="32">
      <c r="A32" t="inlineStr">
        <is>
          <t>Matahari terbenam</t>
        </is>
      </c>
      <c r="B32" s="18">
        <f>B30/24</f>
        <v/>
      </c>
    </row>
    <row r="34">
      <c r="A34" t="inlineStr">
        <is>
          <t>α☾ (°)</t>
        </is>
      </c>
      <c r="B34" s="5">
        <f>Bulan!B34</f>
        <v/>
      </c>
    </row>
    <row r="35">
      <c r="A35" t="inlineStr">
        <is>
          <t>δ☾ (°)</t>
        </is>
      </c>
      <c r="B35" s="5">
        <f>Bulan!B35</f>
        <v/>
      </c>
    </row>
    <row r="36">
      <c r="A36" t="inlineStr">
        <is>
          <t>π Bulan (°)</t>
        </is>
      </c>
      <c r="B36" s="5">
        <f>Bulan!B27</f>
        <v/>
      </c>
    </row>
    <row r="37">
      <c r="A37" t="inlineStr">
        <is>
          <t>SD Bulan (°)</t>
        </is>
      </c>
      <c r="B37" s="5">
        <f>Bulan!B28</f>
        <v/>
      </c>
    </row>
    <row r="38">
      <c r="A38" t="inlineStr">
        <is>
          <t>Waktu sideris Greenwich (°)</t>
        </is>
      </c>
      <c r="B38" s="8">
        <f>MOD(280.46061837+360.98564736629*(B31-2451545),360)</f>
        <v/>
      </c>
    </row>
    <row r="39">
      <c r="A39" t="inlineStr">
        <is>
          <t>Sudut waktu Bulan H☾ (°)</t>
        </is>
      </c>
      <c r="B39" s="8">
        <f>MOD(B38+B5-B34+180,360)-180</f>
        <v/>
      </c>
    </row>
    <row r="40">
      <c r="A40" t="inlineStr">
        <is>
          <t>Tinggi geosentris Bulan (°)</t>
        </is>
      </c>
      <c r="B40" s="8">
        <f>DEGREES(ASIN(SIN(RADIANS(B4))*SIN(RADIANS(B35))+COS(RADIANS(B4))*COS(RADIANS(B35))*COS(RADIANS(B39))))</f>
        <v/>
      </c>
    </row>
    <row r="41">
      <c r="A41" t="inlineStr">
        <is>
          <t>Tinggi hilal toposentris (°)</t>
        </is>
      </c>
      <c r="B41" s="8">
        <f>DEGREES(ATAN((SIN(RADIANS(B40))-SIN(RADIANS(B36)))/COS(RADIANS(B40))))</f>
        <v/>
      </c>
    </row>
    <row r="42">
      <c r="A42" t="inlineStr">
        <is>
          <t>Azimut Bulan (°)</t>
        </is>
      </c>
      <c r="B42" s="8">
        <f>MOD(DEGREES(ATAN2(COS(RADIANS(B4))*SIN(RADIANS(B35))-SIN(RADIANS(B4))*COS(RADIANS(B35))*COS(RADIANS(B39)),-COS(RADIANS(B35))*SIN(RADIANS(B39)))),360)</f>
        <v/>
      </c>
    </row>
    <row r="43">
      <c r="A43" t="inlineStr">
        <is>
          <t>Sudut waktu Matahari (°)</t>
        </is>
      </c>
      <c r="B43" s="8">
        <f>MOD(B38+B5-B24+180,360)-180</f>
        <v/>
      </c>
    </row>
    <row r="44">
      <c r="A44" t="inlineStr">
        <is>
          <t>Tinggi Matahari (°)</t>
        </is>
      </c>
      <c r="B44" s="8">
        <f>DEGREES(ASIN(SIN(RADIANS(B4))*SIN(RADIANS(B23))+COS(RADIANS(B4))*COS(RADIANS(B23))*COS(RADIANS(B43))))</f>
        <v/>
      </c>
    </row>
    <row r="45">
      <c r="A45" t="inlineStr">
        <is>
          <t>Azimut Matahari (°)</t>
        </is>
      </c>
      <c r="B45" s="8">
        <f>MOD(DEGREES(ATAN2(COS(RADIANS(B4))*SIN(RADIANS(B23))-SIN(RADIANS(B4))*COS(RADIANS(B23))*COS(RADIANS(B43)),-COS(RADIANS(B23))*SIN(RADIANS(B43)))),360)</f>
        <v/>
      </c>
    </row>
    <row r="46">
      <c r="A46" t="inlineStr">
        <is>
          <t>Beda azimut A☉ − A☾ (°)</t>
        </is>
      </c>
      <c r="B46" s="8">
        <f>B45-B42</f>
        <v/>
      </c>
    </row>
    <row r="47">
      <c r="A47" t="inlineStr">
        <is>
          <t>Elongasi geosentris (°)</t>
        </is>
      </c>
      <c r="B47" s="8">
        <f>DEGREES(ACOS(SIN(RADIANS(B23))*SIN(RADIANS(B35))+COS(RADIANS(B23))*COS(RADIANS(B35))*COS(RADIANS(B24-B34))))</f>
        <v/>
      </c>
    </row>
    <row r="48">
      <c r="A48" t="inlineStr">
        <is>
          <t>Elongasi toposentris (°)</t>
        </is>
      </c>
      <c r="B48" s="8">
        <f>DEGREES(ACOS(SIN(RADIANS(B44))*SIN(RADIANS(B41))+COS(RADIANS(B44))*COS(RADIANS(B41))*COS(RADIANS(B46))))</f>
        <v/>
      </c>
    </row>
    <row r="49">
      <c r="A49" t="inlineStr">
        <is>
          <t>Iluminasi (%)</t>
        </is>
      </c>
      <c r="B49" s="19">
        <f>(1-COS(RADIANS(B47)))/2*100</f>
        <v/>
      </c>
    </row>
    <row r="50">
      <c r="A50" t="inlineStr">
        <is>
          <t>Lebar sabit W (′)</t>
        </is>
      </c>
      <c r="B50" s="8">
        <f>B37*60*(1-COS(RADIANS(B48)))</f>
        <v/>
      </c>
    </row>
    <row r="51">
      <c r="A51" t="inlineStr">
        <is>
          <t>ARCV (°)</t>
        </is>
      </c>
      <c r="B51" s="8">
        <f>B40-B44</f>
        <v/>
      </c>
    </row>
    <row r="52">
      <c r="A52" t="inlineStr">
        <is>
          <t>Umur Bulan (jam)</t>
        </is>
      </c>
      <c r="B52" s="9">
        <f>(B31-Ijtimak!B19)*24</f>
        <v/>
      </c>
    </row>
    <row r="53">
      <c r="A53" t="inlineStr">
        <is>
          <t>h₀ Bulan (°)</t>
        </is>
      </c>
      <c r="B53" s="8">
        <f>0.7275*B36-34/60-1.76*SQRT(B6)/60</f>
        <v/>
      </c>
    </row>
    <row r="54">
      <c r="A54" t="inlineStr">
        <is>
          <t>Sudut waktu Bulan terbenam (°)</t>
        </is>
      </c>
      <c r="B54" s="8">
        <f>DEGREES(ACOS((SIN(RADIANS(B53))-SIN(RADIANS(B4))*SIN(RADIANS(B35)))/(COS(RADIANS(B4))*COS(RADIANS(B35)))))</f>
        <v/>
      </c>
    </row>
    <row r="55">
      <c r="A55" t="inlineStr">
        <is>
          <t>Lag (menit)</t>
        </is>
      </c>
      <c r="B55" s="7">
        <f>(B54-B39)/14.49*60</f>
        <v/>
      </c>
    </row>
    <row r="56">
      <c r="A56" t="inlineStr">
        <is>
          <t>Bulan terbenam</t>
        </is>
      </c>
      <c r="B56" s="18">
        <f>(B30+B55/60)/24</f>
        <v/>
      </c>
    </row>
    <row r="58">
      <c r="A58" s="2" t="inlineStr">
        <is>
          <t>Bantu: tanggal pengamatan</t>
        </is>
      </c>
      <c r="B58" s="2" t="inlineStr">
        <is>
          <t>Nilai</t>
        </is>
      </c>
    </row>
    <row r="59">
      <c r="A59" t="inlineStr">
        <is>
          <t>Tanggal ijtimak (waktu daerah)</t>
        </is>
      </c>
      <c r="B59" s="17">
        <f>INT(Ijtimak!B20)</f>
        <v/>
      </c>
    </row>
    <row r="60">
      <c r="A60" t="inlineStr">
        <is>
          <t>Tanggal rukyat yang disarankan</t>
        </is>
      </c>
      <c r="B60" s="17">
        <f>IF(Ijtimak!B20-B59&lt;B30/24,B59,B59+1)</f>
        <v/>
      </c>
    </row>
  </sheetData>
  <mergeCells count="1">
    <mergeCell ref="A2:B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outlineLevelCol="0"/>
  <cols>
    <col width="38" customWidth="1" min="1" max="1"/>
    <col width="22" customWidth="1" min="2" max="2"/>
  </cols>
  <sheetData>
    <row r="1">
      <c r="A1" s="1" t="inlineStr">
        <is>
          <t>Kriteria</t>
        </is>
      </c>
      <c r="B1" t="inlineStr">
        <is>
          <t>Pemeriksaan kriteria visibilitas hilal dari data sheet DataHilal.</t>
        </is>
      </c>
    </row>
    <row r="2" ht="48" customHeight="1">
      <c r="A2" s="24" t="inlineStr">
        <is>
          <t>Sumber rumus: Wujudul hilal, MABIMS lama dan baru (2021), Danjon (1932), Odeh (2004), Yallop (1997), Turki 2016. Ketelitian: Tergantung data hilal; kasus di dekat batas kriteria perlu dicocokkan dengan data resmi.</t>
        </is>
      </c>
    </row>
    <row r="3">
      <c r="A3" s="2" t="inlineStr">
        <is>
          <t>Data</t>
        </is>
      </c>
      <c r="B3" s="2" t="inlineStr">
        <is>
          <t>Nilai</t>
        </is>
      </c>
    </row>
    <row r="4">
      <c r="A4" t="inlineStr">
        <is>
          <t>Tinggi hilal toposentris (°)</t>
        </is>
      </c>
      <c r="B4" s="19">
        <f>DataHilal!B41</f>
        <v/>
      </c>
    </row>
    <row r="5">
      <c r="A5" t="inlineStr">
        <is>
          <t>Elongasi geosentris (°)</t>
        </is>
      </c>
      <c r="B5" s="19">
        <f>DataHilal!B47</f>
        <v/>
      </c>
    </row>
    <row r="6">
      <c r="A6" t="inlineStr">
        <is>
          <t>Elongasi toposentris (°)</t>
        </is>
      </c>
      <c r="B6" s="19">
        <f>DataHilal!B48</f>
        <v/>
      </c>
    </row>
    <row r="7">
      <c r="A7" t="inlineStr">
        <is>
          <t>Umur Bulan (jam)</t>
        </is>
      </c>
      <c r="B7" s="9">
        <f>DataHilal!B52</f>
        <v/>
      </c>
    </row>
    <row r="8">
      <c r="A8" t="inlineStr">
        <is>
          <t>Lag (menit)</t>
        </is>
      </c>
      <c r="B8" s="7">
        <f>DataHilal!B55</f>
        <v/>
      </c>
    </row>
    <row r="9">
      <c r="A9" t="inlineStr">
        <is>
          <t>ARCV (°)</t>
        </is>
      </c>
      <c r="B9" s="19">
        <f>DataHilal!B51</f>
        <v/>
      </c>
    </row>
    <row r="10">
      <c r="A10" t="inlineStr">
        <is>
          <t>Lebar sabit W (′)</t>
        </is>
      </c>
      <c r="B10" s="8">
        <f>DataHilal!B50</f>
        <v/>
      </c>
    </row>
    <row r="12">
      <c r="A12" t="inlineStr">
        <is>
          <t>Wujudul hilal</t>
        </is>
      </c>
      <c r="B12">
        <f>IF(AND(B7&gt;0,B8&gt;0),"terpenuhi","tidak")</f>
        <v/>
      </c>
    </row>
    <row r="13">
      <c r="A13" t="inlineStr">
        <is>
          <t>MABIMS lama (2-3-8)</t>
        </is>
      </c>
      <c r="B13">
        <f>IF(AND(B7&gt;0,B4&gt;=2,OR(B5&gt;=3,B7&gt;=8)),"terpenuhi","tidak")</f>
        <v/>
      </c>
    </row>
    <row r="14">
      <c r="A14" t="inlineStr">
        <is>
          <t>MABIMS baru (3–6,4)</t>
        </is>
      </c>
      <c r="B14">
        <f>IF(AND(B7&gt;0,B4&gt;=3,B6&gt;=6.4),"terpenuhi","tidak")</f>
        <v/>
      </c>
    </row>
    <row r="15">
      <c r="A15" t="inlineStr">
        <is>
          <t>Batas Danjon (7°)</t>
        </is>
      </c>
      <c r="B15">
        <f>IF(B6&gt;=7,"terpenuhi","tidak")</f>
        <v/>
      </c>
    </row>
    <row r="16">
      <c r="A16" t="inlineStr">
        <is>
          <t>V (Odeh)</t>
        </is>
      </c>
      <c r="B16" s="9">
        <f>B9-(-0.1018*B10^3+0.7319*B10^2-6.3226*B10+7.1651)</f>
        <v/>
      </c>
    </row>
    <row r="17">
      <c r="A17" t="inlineStr">
        <is>
          <t>Zona Odeh</t>
        </is>
      </c>
      <c r="B17">
        <f>IF(B16&gt;=5.65,"A",IF(B16&gt;=2,"B",IF(B16&gt;=-0.96,"C","D")))</f>
        <v/>
      </c>
    </row>
    <row r="18">
      <c r="A18" t="inlineStr">
        <is>
          <t>q (Yallop)</t>
        </is>
      </c>
      <c r="B18" s="19">
        <f>(B9-(11.8371-6.3226*B10+0.7319*B10^2-0.1018*B10^3))/10</f>
        <v/>
      </c>
    </row>
    <row r="19">
      <c r="A19" t="inlineStr">
        <is>
          <t>Kelas Yallop</t>
        </is>
      </c>
      <c r="B19">
        <f>IF(B18&gt;0.216,"A",IF(B18&gt;-0.014,"B",IF(B18&gt;-0.16,"C",IF(B18&gt;-0.232,"D",IF(B18&gt;-0.293,"E","F")))))</f>
        <v/>
      </c>
    </row>
    <row r="20">
      <c r="A20" t="inlineStr">
        <is>
          <t>Turki 2016 di tempat ini</t>
        </is>
      </c>
      <c r="B20">
        <f>IF(AND(B7&gt;0,DataHilal!B40&gt;=5,B5&gt;=8),"terpenuhi","tidak")</f>
        <v/>
      </c>
    </row>
  </sheetData>
  <mergeCells count="1">
    <mergeCell ref="A2:B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outlineLevelCol="0"/>
  <cols>
    <col width="38" customWidth="1" min="1" max="1"/>
    <col width="22" customWidth="1" min="2" max="2"/>
    <col width="13" customWidth="1" min="3" max="3"/>
    <col width="13" customWidth="1" min="4" max="4"/>
    <col width="13" customWidth="1" min="5" max="5"/>
  </cols>
  <sheetData>
    <row r="1">
      <c r="A1" s="1" t="inlineStr">
        <is>
          <t>Rukyat</t>
        </is>
      </c>
      <c r="B1" t="inlineStr">
        <is>
          <t>Tabel panduan posisi hilal setiap 4 menit sesudah Matahari terbenam, dengan massa udara dan ekstingsi.</t>
        </is>
      </c>
    </row>
    <row r="2" ht="24" customHeight="1">
      <c r="A2" s="24" t="inlineStr">
        <is>
          <t>Sumber rumus: Massa udara Kasten &amp; Young (1989); ekstingsi dengan koefisien k. Ketelitian: Perkiraan; koefisien ekstingsi dipilih sendiri.</t>
        </is>
      </c>
    </row>
    <row r="3">
      <c r="A3" s="2" t="inlineStr">
        <is>
          <t>Data</t>
        </is>
      </c>
      <c r="B3" s="2" t="inlineStr">
        <is>
          <t>Nilai</t>
        </is>
      </c>
    </row>
    <row r="4">
      <c r="A4" t="inlineStr">
        <is>
          <t>Tinggi hilal saat terbenam (°)</t>
        </is>
      </c>
      <c r="B4" s="9">
        <f>DataHilal!B41</f>
        <v/>
      </c>
    </row>
    <row r="5">
      <c r="A5" t="inlineStr">
        <is>
          <t>Lag (menit)</t>
        </is>
      </c>
      <c r="B5" s="7">
        <f>DataHilal!B55</f>
        <v/>
      </c>
    </row>
    <row r="6">
      <c r="A6" t="inlineStr">
        <is>
          <t>Azimut Bulan (°)</t>
        </is>
      </c>
      <c r="B6" s="9">
        <f>DataHilal!B42</f>
        <v/>
      </c>
    </row>
    <row r="7">
      <c r="A7" t="inlineStr">
        <is>
          <t>Matahari terbenam</t>
        </is>
      </c>
      <c r="B7" s="18">
        <f>DataHilal!B32</f>
        <v/>
      </c>
    </row>
    <row r="8">
      <c r="A8" t="inlineStr">
        <is>
          <t>Koefisien ekstingsi k</t>
        </is>
      </c>
      <c r="B8" s="4" t="n">
        <v>0.3</v>
      </c>
    </row>
    <row r="9">
      <c r="A9" t="inlineStr">
        <is>
          <t>Laju turun hilal (°/menit)</t>
        </is>
      </c>
      <c r="B9" s="19">
        <f>(B4+DataHilal!B37+34/60+1.76*SQRT(DataHilal!B6)/60)/B5</f>
        <v/>
      </c>
    </row>
    <row r="11">
      <c r="A11" s="2" t="inlineStr">
        <is>
          <t>Menit</t>
        </is>
      </c>
      <c r="B11" s="2" t="inlineStr">
        <is>
          <t>Jam</t>
        </is>
      </c>
      <c r="C11" s="2" t="inlineStr">
        <is>
          <t>Tinggi (°)</t>
        </is>
      </c>
      <c r="D11" s="2" t="inlineStr">
        <is>
          <t>Massa udara</t>
        </is>
      </c>
      <c r="E11" s="2" t="inlineStr">
        <is>
          <t>Cahaya tersisa (%)</t>
        </is>
      </c>
    </row>
    <row r="12">
      <c r="A12" t="n">
        <v>0</v>
      </c>
      <c r="B12" s="18">
        <f>$B$7+A12/1440</f>
        <v/>
      </c>
      <c r="C12" s="9">
        <f>$B$4-$B$9*A12</f>
        <v/>
      </c>
      <c r="D12" s="7">
        <f>IF(C12&gt;0,1/(SIN(RADIANS(C12))+0.50572*(C12+6.07995)^-1.6364),"—")</f>
        <v/>
      </c>
      <c r="E12" s="7">
        <f>IF(ISNUMBER(D12),100*10^(-0.4*$B$8*D12),"—")</f>
        <v/>
      </c>
    </row>
    <row r="13">
      <c r="A13" t="n">
        <v>4</v>
      </c>
      <c r="B13" s="18">
        <f>$B$7+A13/1440</f>
        <v/>
      </c>
      <c r="C13" s="9">
        <f>$B$4-$B$9*A13</f>
        <v/>
      </c>
      <c r="D13" s="7">
        <f>IF(C13&gt;0,1/(SIN(RADIANS(C13))+0.50572*(C13+6.07995)^-1.6364),"—")</f>
        <v/>
      </c>
      <c r="E13" s="7">
        <f>IF(ISNUMBER(D13),100*10^(-0.4*$B$8*D13),"—")</f>
        <v/>
      </c>
    </row>
    <row r="14">
      <c r="A14" t="n">
        <v>8</v>
      </c>
      <c r="B14" s="18">
        <f>$B$7+A14/1440</f>
        <v/>
      </c>
      <c r="C14" s="9">
        <f>$B$4-$B$9*A14</f>
        <v/>
      </c>
      <c r="D14" s="7">
        <f>IF(C14&gt;0,1/(SIN(RADIANS(C14))+0.50572*(C14+6.07995)^-1.6364),"—")</f>
        <v/>
      </c>
      <c r="E14" s="7">
        <f>IF(ISNUMBER(D14),100*10^(-0.4*$B$8*D14),"—")</f>
        <v/>
      </c>
    </row>
    <row r="15">
      <c r="A15" t="n">
        <v>12</v>
      </c>
      <c r="B15" s="18">
        <f>$B$7+A15/1440</f>
        <v/>
      </c>
      <c r="C15" s="9">
        <f>$B$4-$B$9*A15</f>
        <v/>
      </c>
      <c r="D15" s="7">
        <f>IF(C15&gt;0,1/(SIN(RADIANS(C15))+0.50572*(C15+6.07995)^-1.6364),"—")</f>
        <v/>
      </c>
      <c r="E15" s="7">
        <f>IF(ISNUMBER(D15),100*10^(-0.4*$B$8*D15),"—")</f>
        <v/>
      </c>
    </row>
    <row r="16">
      <c r="A16" t="n">
        <v>16</v>
      </c>
      <c r="B16" s="18">
        <f>$B$7+A16/1440</f>
        <v/>
      </c>
      <c r="C16" s="9">
        <f>$B$4-$B$9*A16</f>
        <v/>
      </c>
      <c r="D16" s="7">
        <f>IF(C16&gt;0,1/(SIN(RADIANS(C16))+0.50572*(C16+6.07995)^-1.6364),"—")</f>
        <v/>
      </c>
      <c r="E16" s="7">
        <f>IF(ISNUMBER(D16),100*10^(-0.4*$B$8*D16),"—")</f>
        <v/>
      </c>
    </row>
  </sheetData>
  <mergeCells count="1">
    <mergeCell ref="A2:E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outlineLevelCol="0"/>
  <cols>
    <col width="38" customWidth="1" min="1" max="1"/>
    <col width="22" customWidth="1" min="2" max="2"/>
  </cols>
  <sheetData>
    <row r="1">
      <c r="A1" s="1" t="inlineStr">
        <is>
          <t>Gerhana</t>
        </is>
      </c>
      <c r="B1" t="inlineStr">
        <is>
          <t>Prediksi gerhana Matahari dan Bulan dengan metode Meeus (bab 54): saat puncak, γ, u, jenis, magnitudo, dan lama setengah fase.</t>
        </is>
      </c>
    </row>
    <row r="2" ht="36" customHeight="1">
      <c r="A2" s="24" t="inlineStr">
        <is>
          <t>Sumber rumus: Meeus (1998, bab 54): γ, u, magnitudo, dan setengah fase. Ketelitian: Jenis gerhana hampir selalu benar; puncak dan kontak berselisih beberapa menit dari NASA.</t>
        </is>
      </c>
    </row>
    <row r="3">
      <c r="A3" s="2" t="inlineStr">
        <is>
          <t>Masukan</t>
        </is>
      </c>
      <c r="B3" s="2" t="inlineStr">
        <is>
          <t>Nilai</t>
        </is>
      </c>
    </row>
    <row r="4">
      <c r="A4" t="inlineStr">
        <is>
          <t>Tahun</t>
        </is>
      </c>
      <c r="B4" s="3" t="n">
        <v>2026</v>
      </c>
    </row>
    <row r="5">
      <c r="A5" t="inlineStr">
        <is>
          <t>Bulan</t>
        </is>
      </c>
      <c r="B5" s="3" t="n">
        <v>8</v>
      </c>
    </row>
    <row r="6">
      <c r="A6" t="inlineStr">
        <is>
          <t>Tanggal</t>
        </is>
      </c>
      <c r="B6" s="3" t="n">
        <v>12</v>
      </c>
    </row>
    <row r="7">
      <c r="A7" t="inlineStr">
        <is>
          <t>Jenis (0 = Matahari, 1 = Bulan)</t>
        </is>
      </c>
      <c r="B7" s="3" t="n">
        <v>0</v>
      </c>
    </row>
    <row r="8">
      <c r="A8" t="inlineStr">
        <is>
          <t>ΔT (detik)</t>
        </is>
      </c>
      <c r="B8" s="12" t="n">
        <v>69.3</v>
      </c>
    </row>
    <row r="10">
      <c r="A10" t="inlineStr">
        <is>
          <t>k perkiraan</t>
        </is>
      </c>
      <c r="B10" s="8">
        <f>(B4+(DATE(B4,B5,B6)-DATE(B4,1,1))/365.25-2000)*12.3685</f>
        <v/>
      </c>
    </row>
    <row r="11">
      <c r="A11" t="inlineStr">
        <is>
          <t>k</t>
        </is>
      </c>
      <c r="B11" s="7">
        <f>ROUND(B10-B7/2,0)+B7/2</f>
        <v/>
      </c>
    </row>
    <row r="12">
      <c r="A12" t="inlineStr">
        <is>
          <t>T</t>
        </is>
      </c>
      <c r="B12" s="5">
        <f>B11/1236.85</f>
        <v/>
      </c>
    </row>
    <row r="13">
      <c r="A13" t="inlineStr">
        <is>
          <t>F (°)</t>
        </is>
      </c>
      <c r="B13" s="8">
        <f>MOD(160.7108+390.67050284*B11-0.0016118*B12^2-0.00000227*B12^3+0.000000011*B12^4,360)</f>
        <v/>
      </c>
    </row>
    <row r="14">
      <c r="A14" t="inlineStr">
        <is>
          <t>Saringan F</t>
        </is>
      </c>
      <c r="B14">
        <f>IF(ABS(SIN(RADIANS(B13)))&gt;0.36,"tidak ada gerhana","mungkin ada gerhana")</f>
        <v/>
      </c>
    </row>
    <row r="15">
      <c r="A15" t="inlineStr">
        <is>
          <t>JDE rata-rata</t>
        </is>
      </c>
      <c r="B15" s="15">
        <f>2451550.09766+29.530588861*B11+0.00015437*B12^2-0.00000015*B12^3+0.00000000073*B12^4</f>
        <v/>
      </c>
    </row>
    <row r="16">
      <c r="A16" t="inlineStr">
        <is>
          <t>M (°)</t>
        </is>
      </c>
      <c r="B16" s="8">
        <f>MOD(2.5534+29.1053567*B11-0.0000014*B12^2-0.00000011*B12^3,360)</f>
        <v/>
      </c>
    </row>
    <row r="17">
      <c r="A17" t="inlineStr">
        <is>
          <t>M' (°)</t>
        </is>
      </c>
      <c r="B17" s="8">
        <f>MOD(201.5643+385.81693528*B11+0.0107582*B12^2+0.00001238*B12^3-0.000000058*B12^4,360)</f>
        <v/>
      </c>
    </row>
    <row r="18">
      <c r="A18" t="inlineStr">
        <is>
          <t>Ω (°)</t>
        </is>
      </c>
      <c r="B18" s="8">
        <f>MOD(124.7746-1.56375588*B11+0.0020672*B12^2+0.00000215*B12^3,360)</f>
        <v/>
      </c>
    </row>
    <row r="19">
      <c r="A19" t="inlineStr">
        <is>
          <t>E</t>
        </is>
      </c>
      <c r="B19" s="5">
        <f>1-0.002516*B12-0.0000074*B12^2</f>
        <v/>
      </c>
    </row>
    <row r="20">
      <c r="A20" t="inlineStr">
        <is>
          <t>F₁ (°)</t>
        </is>
      </c>
      <c r="B20" s="8">
        <f>B13-0.02665*SIN(RADIANS(B18))</f>
        <v/>
      </c>
    </row>
    <row r="21">
      <c r="A21" t="inlineStr">
        <is>
          <t>A₁ (°)</t>
        </is>
      </c>
      <c r="B21" s="8">
        <f>299.77+0.107408*B11-0.009173*B12^2</f>
        <v/>
      </c>
    </row>
    <row r="22">
      <c r="A22" t="inlineStr">
        <is>
          <t>Koreksi (hari)</t>
        </is>
      </c>
      <c r="B22" s="15">
        <f>IF(B7=1,-0.4065,-0.4075)*SIN(RADIANS(B17))+IF(B7=1,0.1727,0.1721)*B19*SIN(RADIANS(B16))+0.0161*SIN(RADIANS(2*B17))-0.0097*SIN(RADIANS(2*B20))+0.0073*B19*SIN(RADIANS(B17-B16))-0.005*B19*SIN(RADIANS(B17+B16))-0.0023*SIN(RADIANS(B17-2*B20))+0.0021*B19*SIN(RADIANS(2*B16))+0.0012*SIN(RADIANS(B17+2*B20))+0.0006*B19*SIN(RADIANS(2*B17+B16))-0.0004*SIN(RADIANS(3*B17))-0.0003*B19*SIN(RADIANS(B16+2*B20))+0.0003*SIN(RADIANS(B21))-0.0002*B19*SIN(RADIANS(B16-2*B20))-0.0002*B19*SIN(RADIANS(2*B17-B16))-0.0002*SIN(RADIANS(B18))</f>
        <v/>
      </c>
    </row>
    <row r="23">
      <c r="A23" t="inlineStr">
        <is>
          <t>JDE puncak</t>
        </is>
      </c>
      <c r="B23" s="15">
        <f>B15+B22</f>
        <v/>
      </c>
    </row>
    <row r="24">
      <c r="A24" t="inlineStr">
        <is>
          <t>JD puncak (UT)</t>
        </is>
      </c>
      <c r="B24" s="15">
        <f>B23-B8/86400</f>
        <v/>
      </c>
    </row>
    <row r="25">
      <c r="A25" t="inlineStr">
        <is>
          <t>Puncak gerhana (UT)</t>
        </is>
      </c>
      <c r="B25" s="10">
        <f>B24-2415018.5</f>
        <v/>
      </c>
    </row>
    <row r="26">
      <c r="A26" t="inlineStr">
        <is>
          <t>P</t>
        </is>
      </c>
      <c r="B26" s="8">
        <f>0.207*B19*SIN(RADIANS(B16))+0.0024*B19*SIN(RADIANS(2*B16))-0.0392*SIN(RADIANS(B17))+0.0116*SIN(RADIANS(2*B17))-0.0073*B19*SIN(RADIANS(B17+B16))+0.0067*B19*SIN(RADIANS(B17-B16))+0.0118*SIN(RADIANS(2*B20))</f>
        <v/>
      </c>
    </row>
    <row r="27">
      <c r="A27" t="inlineStr">
        <is>
          <t>Q</t>
        </is>
      </c>
      <c r="B27" s="8">
        <f>5.2207-0.0048*B19*COS(RADIANS(B16))+0.002*B19*COS(RADIANS(2*B16))-0.3299*COS(RADIANS(B17))-0.006*B19*COS(RADIANS(B17+B16))+0.0041*B19*COS(RADIANS(B17-B16))</f>
        <v/>
      </c>
    </row>
    <row r="28">
      <c r="A28" t="inlineStr">
        <is>
          <t>W</t>
        </is>
      </c>
      <c r="B28" s="8">
        <f>ABS(COS(RADIANS(B20)))</f>
        <v/>
      </c>
    </row>
    <row r="29">
      <c r="A29" t="inlineStr">
        <is>
          <t>γ (jari-jari Bumi)</t>
        </is>
      </c>
      <c r="B29" s="8">
        <f>(B26*COS(RADIANS(B20))+B27*SIN(RADIANS(B20)))*(1-0.0048*B28)</f>
        <v/>
      </c>
    </row>
    <row r="30">
      <c r="A30" t="inlineStr">
        <is>
          <t>u</t>
        </is>
      </c>
      <c r="B30" s="8">
        <f>0.0059+0.0046*B19*COS(RADIANS(B16))-0.0182*COS(RADIANS(B17))+0.0004*COS(RADIANS(2*B17))-0.0005*COS(RADIANS(B16+B17))</f>
        <v/>
      </c>
    </row>
    <row r="31">
      <c r="A31" t="inlineStr">
        <is>
          <t>Jenis gerhana</t>
        </is>
      </c>
      <c r="B31">
        <f>IF(ABS(SIN(RADIANS(B13)))&gt;0.36,"tidak ada",IF(B7=0,IF(ABS(B29)&gt;1.5433+B30,"tidak ada",IF(ABS(B29)&gt;=0.9972,"Matahari sebagian",IF(B30&lt;0,"Matahari total",IF(B30&gt;0.0047,"Matahari cincin",IF(B30&lt;0.00464*SQRT(1-B29^2),"Matahari hibrida","Matahari cincin"))))),IF(B33&lt;=0,"tidak ada",IF(B34&lt;=0,"Bulan penumbra",IF(B34&lt;1,"Bulan sebagian","Bulan total")))))</f>
        <v/>
      </c>
    </row>
    <row r="32">
      <c r="A32" t="inlineStr">
        <is>
          <t>Magnitudo (Matahari, tidak sentral)</t>
        </is>
      </c>
      <c r="B32" s="8">
        <f>IF(AND(B7=0,ABS(B29)&gt;=0.9972),(1.5433+B30-ABS(B29))/(0.5461+2*B30),"—")</f>
        <v/>
      </c>
    </row>
    <row r="33">
      <c r="A33" t="inlineStr">
        <is>
          <t>Magnitudo penumbra (Bulan)</t>
        </is>
      </c>
      <c r="B33" s="8">
        <f>IF(B7=1,(1.5573+B30-ABS(B29))/0.545,"—")</f>
        <v/>
      </c>
    </row>
    <row r="34">
      <c r="A34" t="inlineStr">
        <is>
          <t>Magnitudo umbra (Bulan)</t>
        </is>
      </c>
      <c r="B34" s="8">
        <f>IF(B7=1,(1.0128-B30-ABS(B29))/0.545,"—")</f>
        <v/>
      </c>
    </row>
    <row r="35">
      <c r="A35" t="inlineStr">
        <is>
          <t>n</t>
        </is>
      </c>
      <c r="B35" s="8">
        <f>0.5458+0.04*COS(RADIANS(B17))</f>
        <v/>
      </c>
    </row>
    <row r="36">
      <c r="A36" t="inlineStr">
        <is>
          <t>Setengah fase penumbra (menit)</t>
        </is>
      </c>
      <c r="B36" s="7">
        <f>IF(B7=1,60/B35*SQRT(MAX(0,(1.5573+B30)^2-B29^2)),"—")</f>
        <v/>
      </c>
    </row>
    <row r="37">
      <c r="A37" t="inlineStr">
        <is>
          <t>Setengah fase sebagian (menit)</t>
        </is>
      </c>
      <c r="B37" s="7">
        <f>IF(AND(B7=1,B34&gt;0),60/B35*SQRT(MAX(0,(1.0128-B30)^2-B29^2)),"—")</f>
        <v/>
      </c>
    </row>
    <row r="38">
      <c r="A38" t="inlineStr">
        <is>
          <t>Setengah fase total (menit)</t>
        </is>
      </c>
      <c r="B38" s="7">
        <f>IF(AND(B7=1,B34&gt;=1),60/B35*SQRT(MAX(0,(0.4678-B30)^2-B29^2)),"—")</f>
        <v/>
      </c>
    </row>
  </sheetData>
  <mergeCells count="1">
    <mergeCell ref="A2:B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outlineLevelCol="0"/>
  <cols>
    <col width="38" customWidth="1" min="1" max="1"/>
    <col width="22" customWidth="1" min="2" max="2"/>
    <col width="13" customWidth="1" min="3" max="3"/>
  </cols>
  <sheetData>
    <row r="1">
      <c r="A1" s="1" t="inlineStr">
        <is>
          <t>GerhanaBulan</t>
        </is>
      </c>
      <c r="B1" t="inlineStr">
        <is>
          <t>Jadwal kontak gerhana Bulan dari saat puncak dan lama setengah fase (metode Meeus, sheet Gerhana).</t>
        </is>
      </c>
    </row>
    <row r="2" ht="36" customHeight="1">
      <c r="A2" s="24" t="inlineStr">
        <is>
          <t>Sumber rumus: Meeus (1998, bab 54): γ, u, magnitudo, dan setengah fase. Ketelitian: Jenis gerhana hampir selalu benar; puncak dan kontak berselisih beberapa menit dari NASA.</t>
        </is>
      </c>
    </row>
    <row r="3">
      <c r="A3" s="2" t="inlineStr">
        <is>
          <t>Masukan</t>
        </is>
      </c>
      <c r="B3" s="2" t="inlineStr">
        <is>
          <t>Nilai</t>
        </is>
      </c>
    </row>
    <row r="4">
      <c r="A4" t="inlineStr">
        <is>
          <t>JD puncak (UT)</t>
        </is>
      </c>
      <c r="B4" s="11" t="n">
        <v>2461102.982174</v>
      </c>
    </row>
    <row r="5">
      <c r="A5" t="inlineStr">
        <is>
          <t>Setengah fase penumbra (menit)</t>
        </is>
      </c>
      <c r="B5" s="12" t="n">
        <v>167.88</v>
      </c>
    </row>
    <row r="6">
      <c r="A6" t="inlineStr">
        <is>
          <t>Setengah fase sebagian (menit)</t>
        </is>
      </c>
      <c r="B6" s="12" t="n">
        <v>102.64</v>
      </c>
    </row>
    <row r="7">
      <c r="A7" t="inlineStr">
        <is>
          <t>Setengah fase total (menit)</t>
        </is>
      </c>
      <c r="B7" s="12" t="n">
        <v>28.73</v>
      </c>
    </row>
    <row r="8">
      <c r="A8" t="inlineStr">
        <is>
          <t>Zona waktu (UTC+)</t>
        </is>
      </c>
      <c r="B8" s="3" t="n">
        <v>7</v>
      </c>
    </row>
    <row r="10">
      <c r="A10" s="2" t="inlineStr">
        <is>
          <t>Kontak</t>
        </is>
      </c>
      <c r="B10" s="2" t="inlineStr">
        <is>
          <t>Jam UT</t>
        </is>
      </c>
      <c r="C10" s="2" t="inlineStr">
        <is>
          <t>Jam daerah</t>
        </is>
      </c>
    </row>
    <row r="11">
      <c r="A11" t="inlineStr">
        <is>
          <t>P1 awal penumbra</t>
        </is>
      </c>
      <c r="B11" s="18">
        <f>MOD($B$4+0.5-$B$5/1440,1)</f>
        <v/>
      </c>
      <c r="C11" s="18">
        <f>IF(ISNUMBER(B11),MOD(B11+$B$8/24,1),"—")</f>
        <v/>
      </c>
    </row>
    <row r="12">
      <c r="A12" t="inlineStr">
        <is>
          <t>U1 awal sebagian</t>
        </is>
      </c>
      <c r="B12" s="18">
        <f>IF($B$6&gt;0,MOD($B$4+0.5-$B$6/1440,1),"—")</f>
        <v/>
      </c>
      <c r="C12" s="18">
        <f>IF(ISNUMBER(B12),MOD(B12+$B$8/24,1),"—")</f>
        <v/>
      </c>
    </row>
    <row r="13">
      <c r="A13" t="inlineStr">
        <is>
          <t>U2 awal total</t>
        </is>
      </c>
      <c r="B13" s="18">
        <f>IF($B$7&gt;0,MOD($B$4+0.5-$B$7/1440,1),"—")</f>
        <v/>
      </c>
      <c r="C13" s="18">
        <f>IF(ISNUMBER(B13),MOD(B13+$B$8/24,1),"—")</f>
        <v/>
      </c>
    </row>
    <row r="14">
      <c r="A14" t="inlineStr">
        <is>
          <t>Puncak</t>
        </is>
      </c>
      <c r="B14" s="18">
        <f>MOD($B$4+0.5,1)</f>
        <v/>
      </c>
      <c r="C14" s="18">
        <f>IF(ISNUMBER(B14),MOD(B14+$B$8/24,1),"—")</f>
        <v/>
      </c>
    </row>
    <row r="15">
      <c r="A15" t="inlineStr">
        <is>
          <t>U3 akhir total</t>
        </is>
      </c>
      <c r="B15" s="18">
        <f>IF($B$7&gt;0,MOD($B$4+0.5+$B$7/1440,1),"—")</f>
        <v/>
      </c>
      <c r="C15" s="18">
        <f>IF(ISNUMBER(B15),MOD(B15+$B$8/24,1),"—")</f>
        <v/>
      </c>
    </row>
    <row r="16">
      <c r="A16" t="inlineStr">
        <is>
          <t>U4 akhir sebagian</t>
        </is>
      </c>
      <c r="B16" s="18">
        <f>IF($B$6&gt;0,MOD($B$4+0.5+$B$6/1440,1),"—")</f>
        <v/>
      </c>
      <c r="C16" s="18">
        <f>IF(ISNUMBER(B16),MOD(B16+$B$8/24,1),"—")</f>
        <v/>
      </c>
    </row>
    <row r="17">
      <c r="A17" t="inlineStr">
        <is>
          <t>P4 akhir penumbra</t>
        </is>
      </c>
      <c r="B17" s="18">
        <f>MOD($B$4+0.5+$B$5/1440,1)</f>
        <v/>
      </c>
      <c r="C17" s="18">
        <f>IF(ISNUMBER(B17),MOD(B17+$B$8/24,1),"—")</f>
        <v/>
      </c>
    </row>
    <row r="19">
      <c r="A19" t="inlineStr">
        <is>
          <t>Tanggal puncak (waktu daerah)</t>
        </is>
      </c>
      <c r="B19" s="17">
        <f>B4-2415018.5+B8/24</f>
        <v/>
      </c>
    </row>
    <row r="20">
      <c r="A20" t="inlineStr">
        <is>
          <t>Lama fase total (menit)</t>
        </is>
      </c>
      <c r="B20" s="7">
        <f>2*B7</f>
        <v/>
      </c>
    </row>
    <row r="21">
      <c r="A21" t="inlineStr">
        <is>
          <t>Lama fase umbra (menit)</t>
        </is>
      </c>
      <c r="B21" s="7">
        <f>2*B6</f>
        <v/>
      </c>
    </row>
    <row r="22">
      <c r="A22" t="inlineStr">
        <is>
          <t>Lama seluruh gerhana (menit)</t>
        </is>
      </c>
      <c r="B22" s="7">
        <f>2*B5</f>
        <v/>
      </c>
    </row>
  </sheetData>
  <mergeCells count="1">
    <mergeCell ref="A2:C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outlineLevelCol="0"/>
  <cols>
    <col width="38" customWidth="1" min="1" max="1"/>
    <col width="22" customWidth="1" min="2" max="2"/>
  </cols>
  <sheetData>
    <row r="1">
      <c r="A1" s="1" t="inlineStr">
        <is>
          <t>GerhanaMatahari</t>
        </is>
      </c>
      <c r="B1" t="inlineStr">
        <is>
          <t>Magnitudo dan obskurasi gerhana Matahari di suatu tempat dari semidiameter dan jarak sudut pusat Matahari–Bulan.</t>
        </is>
      </c>
    </row>
    <row r="2" ht="24" customHeight="1">
      <c r="A2" s="24" t="inlineStr">
        <is>
          <t>Sumber rumus: Geometri dua lingkaran yang beririsan. Ketelitian: Pasti, asalkan semidiameter dan jarak sudut benar (dari aplikasi).</t>
        </is>
      </c>
    </row>
    <row r="3">
      <c r="A3" s="2" t="inlineStr">
        <is>
          <t>Masukan</t>
        </is>
      </c>
      <c r="B3" s="2" t="inlineStr">
        <is>
          <t>Nilai</t>
        </is>
      </c>
    </row>
    <row r="4">
      <c r="A4" t="inlineStr">
        <is>
          <t>Semidiameter Matahari s☉ (′)</t>
        </is>
      </c>
      <c r="B4" s="14" t="n">
        <v>15.9227</v>
      </c>
    </row>
    <row r="5">
      <c r="A5" t="inlineStr">
        <is>
          <t>Semidiameter toposentris Bulan s☾ (′)</t>
        </is>
      </c>
      <c r="B5" s="14" t="n">
        <v>16.1438</v>
      </c>
    </row>
    <row r="6">
      <c r="A6" t="inlineStr">
        <is>
          <t>Jarak sudut pusat σ (′)</t>
        </is>
      </c>
      <c r="B6" s="14" t="n">
        <v>16.2698</v>
      </c>
    </row>
    <row r="8">
      <c r="A8" t="inlineStr">
        <is>
          <t>Magnitudo</t>
        </is>
      </c>
      <c r="B8" s="8">
        <f>(B4+B5-B6)/(2*B4)</f>
        <v/>
      </c>
    </row>
    <row r="9">
      <c r="A9" t="inlineStr">
        <is>
          <t>Keadaan</t>
        </is>
      </c>
      <c r="B9">
        <f>IF(B6&gt;=B4+B5,"tidak terjadi",IF(B6&lt;=B5-B4,"total",IF(B6&lt;=B4-B5,"cincin","sebagian")))</f>
        <v/>
      </c>
    </row>
    <row r="10">
      <c r="A10" t="inlineStr">
        <is>
          <t>α₁ (radian)</t>
        </is>
      </c>
      <c r="B10" s="5">
        <f>IF(AND(B6&lt;B4+B5,B6&gt;ABS(B5-B4)),ACOS((B6^2+B4^2-B5^2)/(2*B6*B4)),0)</f>
        <v/>
      </c>
    </row>
    <row r="11">
      <c r="A11" t="inlineStr">
        <is>
          <t>α₂ (radian)</t>
        </is>
      </c>
      <c r="B11" s="5">
        <f>IF(AND(B6&lt;B4+B5,B6&gt;ABS(B5-B4)),ACOS((B6^2+B5^2-B4^2)/(2*B6*B5)),0)</f>
        <v/>
      </c>
    </row>
    <row r="12">
      <c r="A12" t="inlineStr">
        <is>
          <t>Luas irisan (′²)</t>
        </is>
      </c>
      <c r="B12" s="8">
        <f>B4^2*(B10-SIN(2*B10)/2)+B5^2*(B11-SIN(2*B11)/2)</f>
        <v/>
      </c>
    </row>
    <row r="13">
      <c r="A13" t="inlineStr">
        <is>
          <t>Obskurasi</t>
        </is>
      </c>
      <c r="B13" s="8">
        <f>IF(B6&gt;=B4+B5,0,IF(B6&lt;=B5-B4,1,IF(B6&lt;=B4-B5,(B5/B4)^2,B12/(PI()*B4^2))))</f>
        <v/>
      </c>
    </row>
    <row r="14">
      <c r="A14" t="inlineStr">
        <is>
          <t>Obskurasi (%)</t>
        </is>
      </c>
      <c r="B14" s="7">
        <f>B13*100</f>
        <v/>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2026-10-11T04:13:42Z</dcterms:created>
  <dcterms:modified xmlns:dcterms="http://purl.org/dc/terms/" xmlns:xsi="http://www.w3.org/2001/XMLSchema-instance" xsi:type="dcterms:W3CDTF">2026-10-11T04:13:43Z</dcterms:modified>
</cp:coreProperties>
</file>